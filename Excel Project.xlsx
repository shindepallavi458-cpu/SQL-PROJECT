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e5dabea83a93072d/Documents/"/>
    </mc:Choice>
  </mc:AlternateContent>
  <xr:revisionPtr revIDLastSave="20" documentId="8_{37554337-4F84-4BFA-83A8-275651176A84}" xr6:coauthVersionLast="47" xr6:coauthVersionMax="47" xr10:uidLastSave="{54A393D4-C053-4586-B1D0-0348ACF3B156}"/>
  <bookViews>
    <workbookView xWindow="-108" yWindow="-108" windowWidth="23256" windowHeight="12456" xr2:uid="{874CCA5A-B95E-40F2-B339-41A9CD52A470}"/>
  </bookViews>
  <sheets>
    <sheet name="Sheet1" sheetId="1" r:id="rId1"/>
    <sheet name="Sheet2" sheetId="5" r:id="rId2"/>
    <sheet name="Sheet3" sheetId="6" r:id="rId3"/>
    <sheet name="Sheet4" sheetId="9" r:id="rId4"/>
  </sheets>
  <definedNames>
    <definedName name="Slicer_Customer_Name">#N/A</definedName>
    <definedName name="Slicer_Date">#N/A</definedName>
    <definedName name="Slicer_Name_Product">#N/A</definedName>
    <definedName name="Slicer_Pric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4" i="5" l="1"/>
  <c r="J39" i="1"/>
  <c r="L25" i="5"/>
  <c r="J44" i="1" a="1"/>
  <c r="J44" i="1" s="1"/>
  <c r="J45" i="1" a="1"/>
  <c r="J45" i="1" s="1"/>
  <c r="J46" i="1" a="1"/>
  <c r="J46" i="1"/>
  <c r="J47" i="1" a="1"/>
  <c r="J47" i="1" s="1"/>
  <c r="J48" i="1" a="1"/>
  <c r="J48" i="1" s="1"/>
  <c r="J49" i="1" a="1"/>
  <c r="J49" i="1" s="1"/>
  <c r="K44" i="1" a="1"/>
  <c r="K44" i="1" s="1"/>
  <c r="K45" i="1" a="1"/>
  <c r="K45" i="1" s="1"/>
  <c r="K46" i="1" a="1"/>
  <c r="K46" i="1" s="1"/>
  <c r="K47" i="1" a="1"/>
  <c r="K47" i="1" s="1"/>
  <c r="K48" i="1" a="1"/>
  <c r="K48" i="1" s="1"/>
  <c r="K49" i="1" a="1"/>
  <c r="K49" i="1" s="1"/>
  <c r="K43" i="1" a="1"/>
  <c r="K43" i="1" s="1"/>
  <c r="J43" i="1" a="1"/>
  <c r="J43" i="1" s="1"/>
  <c r="D35" i="5"/>
  <c r="N31" i="1"/>
  <c r="M31" i="1"/>
  <c r="J29" i="1"/>
  <c r="K29" i="1"/>
  <c r="K15" i="1"/>
  <c r="J15" i="1"/>
  <c r="H36" i="5"/>
  <c r="H34" i="5"/>
  <c r="G36" i="5"/>
  <c r="G34" i="5"/>
  <c r="N38" i="5"/>
  <c r="L38" i="5"/>
  <c r="N36" i="5"/>
  <c r="N34" i="5"/>
  <c r="L36" i="5"/>
  <c r="L34" i="5"/>
  <c r="P29" i="5"/>
  <c r="Q29" i="5"/>
  <c r="O29" i="5"/>
  <c r="P28" i="5"/>
  <c r="Q28" i="5"/>
  <c r="O28" i="5"/>
  <c r="P27" i="5"/>
  <c r="Q27" i="5"/>
  <c r="O27" i="5"/>
  <c r="P26" i="5"/>
  <c r="Q26" i="5"/>
  <c r="O26" i="5"/>
  <c r="P25" i="5"/>
  <c r="Q25" i="5"/>
  <c r="O25" i="5"/>
  <c r="L29" i="5"/>
  <c r="M29" i="5"/>
  <c r="K29" i="5"/>
  <c r="L28" i="5"/>
  <c r="M28" i="5"/>
  <c r="K28" i="5"/>
  <c r="L27" i="5"/>
  <c r="M27" i="5"/>
  <c r="K27" i="5"/>
  <c r="L26" i="5"/>
  <c r="M26" i="5"/>
  <c r="K26" i="5"/>
  <c r="M25" i="5"/>
  <c r="K25" i="5"/>
  <c r="L19" i="5" a="1"/>
  <c r="L19" i="5" s="1"/>
  <c r="L16" i="5" a="1"/>
  <c r="L16" i="5" s="1"/>
  <c r="M9" i="5"/>
  <c r="M10" i="5"/>
  <c r="M8" i="5"/>
  <c r="M6" i="5"/>
  <c r="M7" i="5"/>
  <c r="M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<sst xmlns="http://schemas.openxmlformats.org/spreadsheetml/2006/main" count="332" uniqueCount="139">
  <si>
    <t>Sale_ID</t>
  </si>
  <si>
    <t>Date</t>
  </si>
  <si>
    <t>Customer_Name</t>
  </si>
  <si>
    <t>Price</t>
  </si>
  <si>
    <t>Total_Amount</t>
  </si>
  <si>
    <t>Rahul Sharma</t>
  </si>
  <si>
    <t>Anita Verma</t>
  </si>
  <si>
    <t>Amit Singh</t>
  </si>
  <si>
    <t>Sunita Gupta</t>
  </si>
  <si>
    <t>Rakesh Yadav</t>
  </si>
  <si>
    <t>Kiran Patel</t>
  </si>
  <si>
    <t>Meena Sharma</t>
  </si>
  <si>
    <t>Vikram Jain</t>
  </si>
  <si>
    <t>Deepak Sahu</t>
  </si>
  <si>
    <t>Pooja Mehta</t>
  </si>
  <si>
    <t>Rajesh Kuma</t>
  </si>
  <si>
    <t>Neha Rani</t>
  </si>
  <si>
    <t>Arjun Das</t>
  </si>
  <si>
    <t>Shalini Pathak</t>
  </si>
  <si>
    <t>Harish Verma</t>
  </si>
  <si>
    <t>Sanya Kapoor</t>
  </si>
  <si>
    <t>Rohit Singh</t>
  </si>
  <si>
    <t>Monu Yadav</t>
  </si>
  <si>
    <t>Tina Ahuja</t>
  </si>
  <si>
    <t>Krish Dutta</t>
  </si>
  <si>
    <t>Ajay Verma</t>
  </si>
  <si>
    <t>Kajal Singh</t>
  </si>
  <si>
    <t>Vivek Chauhan</t>
  </si>
  <si>
    <t>Simran Kaur</t>
  </si>
  <si>
    <t>Manish Tiwari</t>
  </si>
  <si>
    <t>Reena Sahu</t>
  </si>
  <si>
    <t>Keshav Jaiswal</t>
  </si>
  <si>
    <t>Varsha Pandey</t>
  </si>
  <si>
    <t>Anmol Jain</t>
  </si>
  <si>
    <t>Preeti Sharma</t>
  </si>
  <si>
    <t>Mobile</t>
  </si>
  <si>
    <t>Laptop</t>
  </si>
  <si>
    <t>Headphones</t>
  </si>
  <si>
    <t>Smartwatch</t>
  </si>
  <si>
    <t>Keyboard</t>
  </si>
  <si>
    <t>Mouse</t>
  </si>
  <si>
    <t>Monitor</t>
  </si>
  <si>
    <t xml:space="preserve">USB </t>
  </si>
  <si>
    <t>Charger</t>
  </si>
  <si>
    <t xml:space="preserve">Mobile </t>
  </si>
  <si>
    <t>Tablet</t>
  </si>
  <si>
    <t>Earbuds</t>
  </si>
  <si>
    <t>USB Cable</t>
  </si>
  <si>
    <t>Mobile Cover</t>
  </si>
  <si>
    <t>Sameer Khan</t>
  </si>
  <si>
    <t>Anjali Singh</t>
  </si>
  <si>
    <t>Sachin Gupta</t>
  </si>
  <si>
    <t>Sweety Yadav</t>
  </si>
  <si>
    <t>Nikhil Taneja</t>
  </si>
  <si>
    <t>Divya Mehta</t>
  </si>
  <si>
    <t>Rohit Sharma</t>
  </si>
  <si>
    <t>Jyoti Verma</t>
  </si>
  <si>
    <t>Rajdeep Singh</t>
  </si>
  <si>
    <t>Sneha Kapoor</t>
  </si>
  <si>
    <t>Aryan Pandey</t>
  </si>
  <si>
    <t>Kavita Chauhan</t>
  </si>
  <si>
    <t>Imran Sheikh</t>
  </si>
  <si>
    <t>Naina Rani</t>
  </si>
  <si>
    <t>Lokesh Yadav</t>
  </si>
  <si>
    <t>Garima Jain</t>
  </si>
  <si>
    <t>Vinay Singh</t>
  </si>
  <si>
    <t>Ritu Das</t>
  </si>
  <si>
    <t>Aadesh Mishra</t>
  </si>
  <si>
    <t>Shristi Pandey</t>
  </si>
  <si>
    <t>Naman Gupta</t>
  </si>
  <si>
    <t>Rekha Sharma</t>
  </si>
  <si>
    <t>Sachin Mehta</t>
  </si>
  <si>
    <t>Priya Yadav</t>
  </si>
  <si>
    <t>Ravi Singh</t>
  </si>
  <si>
    <t>Ankita Kumari</t>
  </si>
  <si>
    <t>Vikas Jain</t>
  </si>
  <si>
    <t>Neelam Gupta</t>
  </si>
  <si>
    <t>Harsh Tiwari</t>
  </si>
  <si>
    <t>Simi Chauhan</t>
  </si>
  <si>
    <t>Aditya Rao</t>
  </si>
  <si>
    <t>Shreya Patel</t>
  </si>
  <si>
    <t>Karan Singh</t>
  </si>
  <si>
    <t>Payal Mehta</t>
  </si>
  <si>
    <t>Arvind Joshi</t>
  </si>
  <si>
    <t>Divya Soni</t>
  </si>
  <si>
    <t>Sahil Khan</t>
  </si>
  <si>
    <t>Aarti Singh</t>
  </si>
  <si>
    <t>Riya Das</t>
  </si>
  <si>
    <t>Nitin Sharma</t>
  </si>
  <si>
    <t>Anurag Verma</t>
  </si>
  <si>
    <t>Pooja Sen</t>
  </si>
  <si>
    <t>Rohit Chauhan</t>
  </si>
  <si>
    <t>Nisha Jain</t>
  </si>
  <si>
    <t>Shubham Yadav</t>
  </si>
  <si>
    <t>Dimple Singh</t>
  </si>
  <si>
    <t>Mukesh Gupta</t>
  </si>
  <si>
    <t>Asha Verma</t>
  </si>
  <si>
    <t>Rajkumar Thakur</t>
  </si>
  <si>
    <t>Kusum Shetty</t>
  </si>
  <si>
    <t>Anup Singh</t>
  </si>
  <si>
    <t>Ritika Shah</t>
  </si>
  <si>
    <t>Rahul Jain</t>
  </si>
  <si>
    <t>Sonu Yadav</t>
  </si>
  <si>
    <t>Rohini Singh</t>
  </si>
  <si>
    <t>Deepa Das</t>
  </si>
  <si>
    <t>Arman Ali</t>
  </si>
  <si>
    <t>Priyanka Dutta</t>
  </si>
  <si>
    <t>Vedant Kumar</t>
  </si>
  <si>
    <t>Yash Sharma</t>
  </si>
  <si>
    <t>Suhani Gupt</t>
  </si>
  <si>
    <t>Ritik Mehra</t>
  </si>
  <si>
    <t>Mansi Tiwari</t>
  </si>
  <si>
    <t>Karan Patel</t>
  </si>
  <si>
    <t>Sonia Gupta</t>
  </si>
  <si>
    <t>Sameer Yadav</t>
  </si>
  <si>
    <t>Khushi Jain</t>
  </si>
  <si>
    <t>Name,Product</t>
  </si>
  <si>
    <t>Quantity</t>
  </si>
  <si>
    <t>Grand Total</t>
  </si>
  <si>
    <t>Sum of Quantity</t>
  </si>
  <si>
    <t>Sum of Price</t>
  </si>
  <si>
    <t>Sum of Total_Amount</t>
  </si>
  <si>
    <t>XLOOKUP</t>
  </si>
  <si>
    <t>VLOOKUP</t>
  </si>
  <si>
    <t>HLOOKUP</t>
  </si>
  <si>
    <t>MATCH</t>
  </si>
  <si>
    <t>INDEX</t>
  </si>
  <si>
    <t>SUM</t>
  </si>
  <si>
    <t>COUNT</t>
  </si>
  <si>
    <t>AVG</t>
  </si>
  <si>
    <t>IFS</t>
  </si>
  <si>
    <t>INDEX+MATCH</t>
  </si>
  <si>
    <t>SUMIFS</t>
  </si>
  <si>
    <t>Customer Name</t>
  </si>
  <si>
    <t>Sales Id</t>
  </si>
  <si>
    <t>Product Name</t>
  </si>
  <si>
    <t>SALES DATA PIOVT TABLE INSIGHTS</t>
  </si>
  <si>
    <t xml:space="preserve">                                                                   SALES  DATA DASHBORD</t>
  </si>
  <si>
    <t xml:space="preserve">                                                                               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</si>
</sst>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22"/>
      <color theme="1"/>
      <name val="Calibri"/>
      <family val="2"/>
      <scheme val="minor"/>
    </font>
    <font>
      <b/>
      <sz val="22"/>
      <color theme="1"/>
      <name val="Algerian"/>
      <family val="5"/>
    </font>
    <font>
      <sz val="22"/>
      <color theme="0"/>
      <name val="Algerian"/>
      <family val="5"/>
    </font>
    <font>
      <sz val="24"/>
      <color theme="0"/>
      <name val="Algerian"/>
      <family val="5"/>
    </font>
    <font>
      <b/>
      <sz val="11"/>
      <color theme="1"/>
      <name val="Algerian"/>
      <family val="5"/>
    </font>
    <font>
      <b/>
      <sz val="11"/>
      <color theme="0"/>
      <name val="Algerian"/>
      <family val="5"/>
    </font>
    <font>
      <b/>
      <sz val="11"/>
      <color theme="2"/>
      <name val="Algerian"/>
      <family val="5"/>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rgb="FF0070C0"/>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rgb="FFC00000"/>
        <bgColor indexed="64"/>
      </patternFill>
    </fill>
    <fill>
      <patternFill patternType="solid">
        <fgColor theme="0"/>
        <bgColor theme="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8" tint="-0.499984740745262"/>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3">
    <xf numFmtId="0" fontId="0" fillId="0" borderId="0" xfId="0"/>
    <xf numFmtId="0" fontId="2" fillId="0" borderId="0" xfId="0" applyFont="1"/>
    <xf numFmtId="0" fontId="2" fillId="0" borderId="1" xfId="0" applyFont="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3" fontId="0" fillId="0" borderId="1" xfId="0" applyNumberFormat="1" applyBorder="1" applyAlignment="1">
      <alignment horizontal="center"/>
    </xf>
    <xf numFmtId="0" fontId="4" fillId="0" borderId="1" xfId="0" applyFont="1" applyBorder="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0" fontId="2" fillId="3" borderId="0" xfId="0" applyFont="1" applyFill="1" applyAlignment="1">
      <alignment horizontal="center"/>
    </xf>
    <xf numFmtId="0" fontId="0" fillId="0" borderId="0" xfId="0" applyAlignment="1">
      <alignment horizontal="center"/>
    </xf>
    <xf numFmtId="0" fontId="2" fillId="0" borderId="0" xfId="0" applyFont="1" applyAlignment="1">
      <alignment horizontal="center"/>
    </xf>
    <xf numFmtId="0" fontId="0" fillId="0" borderId="2" xfId="0" applyBorder="1" applyAlignment="1">
      <alignment horizontal="center"/>
    </xf>
    <xf numFmtId="0" fontId="2" fillId="4" borderId="1" xfId="0" applyFont="1" applyFill="1" applyBorder="1" applyAlignment="1">
      <alignment horizontal="center"/>
    </xf>
    <xf numFmtId="0" fontId="0" fillId="4" borderId="1" xfId="0" applyFill="1" applyBorder="1" applyAlignment="1">
      <alignment horizontal="center"/>
    </xf>
    <xf numFmtId="0" fontId="0" fillId="4" borderId="1" xfId="0" applyFill="1" applyBorder="1"/>
    <xf numFmtId="0" fontId="2" fillId="4" borderId="4" xfId="0" applyFont="1" applyFill="1" applyBorder="1" applyAlignment="1">
      <alignment horizontal="center"/>
    </xf>
    <xf numFmtId="0" fontId="0" fillId="4" borderId="0" xfId="0" applyFill="1"/>
    <xf numFmtId="14" fontId="0" fillId="4" borderId="1" xfId="0" applyNumberForma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2" fillId="6" borderId="9" xfId="0" applyFont="1" applyFill="1" applyBorder="1" applyAlignment="1">
      <alignment horizontal="center"/>
    </xf>
    <xf numFmtId="0" fontId="2" fillId="5" borderId="0" xfId="0" applyFont="1" applyFill="1" applyAlignment="1">
      <alignment horizontal="center"/>
    </xf>
    <xf numFmtId="0" fontId="2" fillId="7" borderId="1" xfId="0" applyFont="1" applyFill="1" applyBorder="1" applyAlignment="1">
      <alignment horizontal="center"/>
    </xf>
    <xf numFmtId="0" fontId="2" fillId="0" borderId="5" xfId="0" applyFont="1" applyBorder="1" applyAlignment="1">
      <alignment horizontal="center"/>
    </xf>
    <xf numFmtId="0" fontId="2" fillId="0" borderId="9" xfId="0" applyFont="1" applyBorder="1" applyAlignment="1">
      <alignment horizontal="center"/>
    </xf>
    <xf numFmtId="0" fontId="2" fillId="0" borderId="6" xfId="0" applyFont="1" applyBorder="1" applyAlignment="1">
      <alignment horizontal="center"/>
    </xf>
    <xf numFmtId="14" fontId="0" fillId="0" borderId="2" xfId="0" applyNumberFormat="1" applyBorder="1" applyAlignment="1">
      <alignment horizontal="center"/>
    </xf>
    <xf numFmtId="0" fontId="1" fillId="9" borderId="0" xfId="0" applyFont="1" applyFill="1" applyAlignment="1">
      <alignment horizontal="center"/>
    </xf>
    <xf numFmtId="3" fontId="3" fillId="0" borderId="1" xfId="0" applyNumberFormat="1" applyFont="1" applyBorder="1" applyAlignment="1">
      <alignment horizontal="center"/>
    </xf>
    <xf numFmtId="0" fontId="3" fillId="0" borderId="3" xfId="0" applyFont="1" applyBorder="1" applyAlignment="1">
      <alignment horizontal="center"/>
    </xf>
    <xf numFmtId="0" fontId="3" fillId="0" borderId="1" xfId="0" applyFont="1" applyBorder="1" applyAlignment="1">
      <alignment horizontal="center"/>
    </xf>
    <xf numFmtId="3" fontId="3" fillId="0" borderId="3" xfId="0" applyNumberFormat="1" applyFont="1" applyBorder="1" applyAlignment="1">
      <alignment horizontal="center"/>
    </xf>
    <xf numFmtId="3" fontId="3" fillId="0" borderId="2" xfId="0" applyNumberFormat="1" applyFont="1" applyBorder="1" applyAlignment="1">
      <alignment horizontal="center"/>
    </xf>
    <xf numFmtId="3" fontId="3" fillId="0" borderId="8" xfId="0" applyNumberFormat="1" applyFont="1" applyBorder="1" applyAlignment="1">
      <alignment horizontal="center"/>
    </xf>
    <xf numFmtId="0" fontId="0" fillId="12" borderId="0" xfId="0" applyFill="1"/>
    <xf numFmtId="0" fontId="2" fillId="11" borderId="1" xfId="0" applyFont="1" applyFill="1" applyBorder="1" applyAlignment="1">
      <alignment horizontal="center"/>
    </xf>
    <xf numFmtId="0" fontId="9" fillId="2" borderId="1" xfId="0" applyFont="1" applyFill="1" applyBorder="1" applyAlignment="1">
      <alignment horizontal="center"/>
    </xf>
    <xf numFmtId="0" fontId="9" fillId="2" borderId="1" xfId="0" applyFont="1" applyFill="1" applyBorder="1"/>
    <xf numFmtId="0" fontId="10" fillId="8" borderId="1" xfId="0" applyFont="1" applyFill="1" applyBorder="1" applyAlignment="1">
      <alignment horizontal="center"/>
    </xf>
    <xf numFmtId="0" fontId="11" fillId="8" borderId="1" xfId="0" applyFont="1" applyFill="1" applyBorder="1" applyAlignment="1">
      <alignment horizontal="center"/>
    </xf>
    <xf numFmtId="0" fontId="11" fillId="8" borderId="0" xfId="0" applyFont="1" applyFill="1" applyAlignment="1">
      <alignment horizontal="center"/>
    </xf>
    <xf numFmtId="0" fontId="10" fillId="8" borderId="0" xfId="0" applyFont="1" applyFill="1" applyAlignment="1">
      <alignment horizontal="center"/>
    </xf>
    <xf numFmtId="0" fontId="8" fillId="13" borderId="0" xfId="0" applyFont="1" applyFill="1" applyAlignment="1">
      <alignment horizontal="center"/>
    </xf>
    <xf numFmtId="0" fontId="0" fillId="13" borderId="0" xfId="0" applyFill="1" applyAlignment="1">
      <alignment horizontal="center"/>
    </xf>
    <xf numFmtId="0" fontId="6" fillId="10" borderId="0" xfId="0" applyFont="1" applyFill="1" applyAlignment="1">
      <alignment horizontal="center" vertical="top"/>
    </xf>
    <xf numFmtId="0" fontId="5" fillId="10" borderId="0" xfId="0" applyFont="1" applyFill="1" applyAlignment="1">
      <alignment horizontal="center" vertical="top"/>
    </xf>
    <xf numFmtId="0" fontId="7" fillId="12" borderId="0" xfId="0" applyFont="1" applyFill="1"/>
  </cellXfs>
  <cellStyles count="1">
    <cellStyle name="Normal" xfId="0" builtinId="0"/>
  </cellStyles>
  <dxfs count="24">
    <dxf>
      <font>
        <b val="0"/>
        <i val="0"/>
        <strike val="0"/>
        <condense val="0"/>
        <extend val="0"/>
        <outline val="0"/>
        <shadow val="0"/>
        <u val="none"/>
        <vertAlign val="baseline"/>
        <sz val="11"/>
        <color rgb="FF000000"/>
        <name val="Calibri"/>
        <family val="2"/>
        <scheme val="minor"/>
      </font>
      <numFmt numFmtId="3" formatCode="#,##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Data.xlsx]Sheet3!PivotTable7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Algerian" panose="04020705040A02060702" pitchFamily="82" charset="0"/>
                <a:ea typeface="+mn-ea"/>
                <a:cs typeface="+mn-cs"/>
              </a:defRPr>
            </a:pPr>
            <a:r>
              <a:rPr lang="en-US">
                <a:solidFill>
                  <a:schemeClr val="bg1"/>
                </a:solidFill>
                <a:latin typeface="Algerian" panose="04020705040A02060702" pitchFamily="82" charset="0"/>
              </a:rPr>
              <a:t>DATE</a:t>
            </a: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76145680904931"/>
          <c:y val="0.1989358773973478"/>
          <c:w val="0.73287366734025505"/>
          <c:h val="0.29705142194304363"/>
        </c:manualLayout>
      </c:layout>
      <c:bar3DChart>
        <c:barDir val="col"/>
        <c:grouping val="clustered"/>
        <c:varyColors val="0"/>
        <c:ser>
          <c:idx val="0"/>
          <c:order val="0"/>
          <c:tx>
            <c:strRef>
              <c:f>Sheet3!$H$5</c:f>
              <c:strCache>
                <c:ptCount val="1"/>
                <c:pt idx="0">
                  <c:v>Total</c:v>
                </c:pt>
              </c:strCache>
            </c:strRef>
          </c:tx>
          <c:spPr>
            <a:solidFill>
              <a:schemeClr val="accent1"/>
            </a:solidFill>
            <a:ln>
              <a:noFill/>
            </a:ln>
            <a:effectLst/>
            <a:sp3d/>
          </c:spPr>
          <c:invertIfNegative val="0"/>
          <c:cat>
            <c:strRef>
              <c:f>Sheet3!$G$6:$G$7</c:f>
              <c:strCache>
                <c:ptCount val="1"/>
                <c:pt idx="0">
                  <c:v>18-01-2025</c:v>
                </c:pt>
              </c:strCache>
            </c:strRef>
          </c:cat>
          <c:val>
            <c:numRef>
              <c:f>Sheet3!$H$6:$H$7</c:f>
              <c:numCache>
                <c:formatCode>General</c:formatCode>
                <c:ptCount val="1"/>
                <c:pt idx="0">
                  <c:v>4800</c:v>
                </c:pt>
              </c:numCache>
            </c:numRef>
          </c:val>
          <c:extLst>
            <c:ext xmlns:c16="http://schemas.microsoft.com/office/drawing/2014/chart" uri="{C3380CC4-5D6E-409C-BE32-E72D297353CC}">
              <c16:uniqueId val="{00000000-E0A9-4188-B58E-FDC0CCB79F8E}"/>
            </c:ext>
          </c:extLst>
        </c:ser>
        <c:dLbls>
          <c:showLegendKey val="0"/>
          <c:showVal val="0"/>
          <c:showCatName val="0"/>
          <c:showSerName val="0"/>
          <c:showPercent val="0"/>
          <c:showBubbleSize val="0"/>
        </c:dLbls>
        <c:gapWidth val="150"/>
        <c:shape val="box"/>
        <c:axId val="1885606736"/>
        <c:axId val="1885607216"/>
        <c:axId val="0"/>
      </c:bar3DChart>
      <c:catAx>
        <c:axId val="1885606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07216"/>
        <c:crosses val="autoZero"/>
        <c:auto val="1"/>
        <c:lblAlgn val="ctr"/>
        <c:lblOffset val="100"/>
        <c:noMultiLvlLbl val="0"/>
      </c:catAx>
      <c:valAx>
        <c:axId val="188560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0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Data.xlsx]Sheet3!PivotTable6</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Algerian" panose="04020705040A02060702" pitchFamily="82" charset="0"/>
                <a:ea typeface="+mn-ea"/>
                <a:cs typeface="+mn-cs"/>
              </a:defRPr>
            </a:pPr>
            <a:r>
              <a:rPr lang="en-US">
                <a:solidFill>
                  <a:schemeClr val="bg1"/>
                </a:solidFill>
                <a:latin typeface="Algerian" panose="04020705040A02060702" pitchFamily="82" charset="0"/>
              </a:rPr>
              <a:t>CUSTOMER NAME</a:t>
            </a:r>
          </a:p>
        </c:rich>
      </c:tx>
      <c:layout>
        <c:manualLayout>
          <c:xMode val="edge"/>
          <c:yMode val="edge"/>
          <c:x val="0.31631583376727207"/>
          <c:y val="0.19155599112342717"/>
        </c:manualLayout>
      </c:layout>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Algerian" panose="04020705040A02060702" pitchFamily="82"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48104160011024"/>
          <c:y val="0.52541219509723447"/>
          <c:w val="0.61993121981470689"/>
          <c:h val="0.35748183504089015"/>
        </c:manualLayout>
      </c:layout>
      <c:lineChart>
        <c:grouping val="standard"/>
        <c:varyColors val="0"/>
        <c:ser>
          <c:idx val="0"/>
          <c:order val="0"/>
          <c:tx>
            <c:strRef>
              <c:f>Sheet3!$E$5</c:f>
              <c:strCache>
                <c:ptCount val="1"/>
                <c:pt idx="0">
                  <c:v>Total</c:v>
                </c:pt>
              </c:strCache>
            </c:strRef>
          </c:tx>
          <c:spPr>
            <a:ln w="28575" cap="rnd">
              <a:solidFill>
                <a:schemeClr val="accent1"/>
              </a:solidFill>
              <a:round/>
            </a:ln>
            <a:effectLst/>
          </c:spPr>
          <c:marker>
            <c:symbol val="none"/>
          </c:marker>
          <c:cat>
            <c:strRef>
              <c:f>Sheet3!$D$6:$D$7</c:f>
              <c:strCache>
                <c:ptCount val="1"/>
                <c:pt idx="0">
                  <c:v>Divya Mehta</c:v>
                </c:pt>
              </c:strCache>
            </c:strRef>
          </c:cat>
          <c:val>
            <c:numRef>
              <c:f>Sheet3!$E$6:$E$7</c:f>
              <c:numCache>
                <c:formatCode>General</c:formatCode>
                <c:ptCount val="1"/>
                <c:pt idx="0">
                  <c:v>4800</c:v>
                </c:pt>
              </c:numCache>
            </c:numRef>
          </c:val>
          <c:smooth val="0"/>
          <c:extLst>
            <c:ext xmlns:c16="http://schemas.microsoft.com/office/drawing/2014/chart" uri="{C3380CC4-5D6E-409C-BE32-E72D297353CC}">
              <c16:uniqueId val="{00000000-40F3-4AC8-9DF2-5586C0774B9E}"/>
            </c:ext>
          </c:extLst>
        </c:ser>
        <c:dLbls>
          <c:showLegendKey val="0"/>
          <c:showVal val="0"/>
          <c:showCatName val="0"/>
          <c:showSerName val="0"/>
          <c:showPercent val="0"/>
          <c:showBubbleSize val="0"/>
        </c:dLbls>
        <c:smooth val="0"/>
        <c:axId val="978708000"/>
        <c:axId val="978706080"/>
      </c:lineChart>
      <c:catAx>
        <c:axId val="97870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706080"/>
        <c:crosses val="autoZero"/>
        <c:auto val="1"/>
        <c:lblAlgn val="ctr"/>
        <c:lblOffset val="100"/>
        <c:noMultiLvlLbl val="0"/>
      </c:catAx>
      <c:valAx>
        <c:axId val="978706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70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Data.xlsx]Sheet3!PivotTable8</c:name>
    <c:fmtId val="18"/>
  </c:pivotSource>
  <c:chart>
    <c:title>
      <c:tx>
        <c:rich>
          <a:bodyPr rot="0" spcFirstLastPara="1" vertOverflow="ellipsis" vert="horz" wrap="square" anchor="ctr" anchorCtr="1"/>
          <a:lstStyle/>
          <a:p>
            <a:pPr>
              <a:defRPr sz="1400" b="0" i="0" u="none" strike="noStrike" kern="1200" spc="0" baseline="0">
                <a:solidFill>
                  <a:schemeClr val="bg1"/>
                </a:solidFill>
                <a:latin typeface="Algerian" panose="04020705040A02060702" pitchFamily="82" charset="0"/>
                <a:ea typeface="+mn-ea"/>
                <a:cs typeface="+mn-cs"/>
              </a:defRPr>
            </a:pPr>
            <a:r>
              <a:rPr lang="en-US">
                <a:solidFill>
                  <a:schemeClr val="bg1"/>
                </a:solidFill>
                <a:latin typeface="Algerian" panose="04020705040A02060702" pitchFamily="82" charset="0"/>
              </a:rPr>
              <a:t>PRODUCT</a:t>
            </a:r>
            <a:r>
              <a:rPr lang="en-US" baseline="0">
                <a:solidFill>
                  <a:schemeClr val="bg1"/>
                </a:solidFill>
                <a:latin typeface="Algerian" panose="04020705040A02060702" pitchFamily="82" charset="0"/>
              </a:rPr>
              <a:t> NAME</a:t>
            </a:r>
            <a:endParaRPr lang="en-US">
              <a:solidFill>
                <a:schemeClr val="bg1"/>
              </a:solidFill>
              <a:latin typeface="Algerian" panose="04020705040A02060702" pitchFamily="82" charset="0"/>
            </a:endParaRP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Algerian" panose="04020705040A02060702" pitchFamily="82"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pivotFmt>
      <c:pivotFmt>
        <c:idx val="18"/>
        <c:spPr>
          <a:solidFill>
            <a:schemeClr val="accent1"/>
          </a:solidFill>
          <a:ln w="28575" cap="rnd">
            <a:solidFill>
              <a:schemeClr val="accent1"/>
            </a:solidFill>
            <a:round/>
          </a:ln>
          <a:effectLst/>
        </c:spPr>
      </c:pivotFmt>
      <c:pivotFmt>
        <c:idx val="19"/>
        <c:spPr>
          <a:solidFill>
            <a:schemeClr val="accent1"/>
          </a:solidFill>
          <a:ln w="28575" cap="rnd">
            <a:solidFill>
              <a:schemeClr val="accent1"/>
            </a:solidFill>
            <a:round/>
          </a:ln>
          <a:effectLst/>
        </c:spPr>
      </c:pivotFmt>
      <c:pivotFmt>
        <c:idx val="20"/>
        <c:spPr>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pivotFmt>
      <c:pivotFmt>
        <c:idx val="22"/>
        <c:spPr>
          <a:solidFill>
            <a:schemeClr val="accent1"/>
          </a:solidFill>
          <a:ln w="28575" cap="rnd">
            <a:solidFill>
              <a:schemeClr val="accent1"/>
            </a:solidFill>
            <a:round/>
          </a:ln>
          <a:effectLst/>
        </c:spPr>
      </c:pivotFmt>
      <c:pivotFmt>
        <c:idx val="23"/>
        <c:spPr>
          <a:solidFill>
            <a:schemeClr val="accent1"/>
          </a:solidFill>
          <a:ln w="28575" cap="rnd">
            <a:solidFill>
              <a:schemeClr val="accent1"/>
            </a:solidFill>
            <a:round/>
          </a:ln>
          <a:effectLst/>
        </c:spPr>
      </c:pivotFmt>
      <c:pivotFmt>
        <c:idx val="24"/>
        <c:spPr>
          <a:solidFill>
            <a:schemeClr val="accent1"/>
          </a:solidFill>
          <a:ln w="28575" cap="rnd">
            <a:solidFill>
              <a:schemeClr val="accent1"/>
            </a:solidFill>
            <a:round/>
          </a:ln>
          <a:effectLst/>
        </c:spPr>
      </c:pivotFmt>
      <c:pivotFmt>
        <c:idx val="25"/>
        <c:spPr>
          <a:solidFill>
            <a:schemeClr val="accent1"/>
          </a:solidFill>
          <a:ln w="28575" cap="rnd">
            <a:solidFill>
              <a:schemeClr val="accent1"/>
            </a:solidFill>
            <a:round/>
          </a:ln>
          <a:effectLst/>
        </c:spPr>
      </c:pivotFmt>
      <c:pivotFmt>
        <c:idx val="26"/>
        <c:spPr>
          <a:solidFill>
            <a:schemeClr val="accent1"/>
          </a:solidFill>
          <a:ln w="28575" cap="rnd">
            <a:solidFill>
              <a:schemeClr val="accent1"/>
            </a:solidFill>
            <a:round/>
          </a:ln>
          <a:effectLst/>
        </c:spPr>
      </c:pivotFmt>
      <c:pivotFmt>
        <c:idx val="27"/>
        <c:spPr>
          <a:solidFill>
            <a:schemeClr val="accent1"/>
          </a:solidFill>
          <a:ln w="28575" cap="rnd">
            <a:solidFill>
              <a:schemeClr val="accent1"/>
            </a:solidFill>
            <a:round/>
          </a:ln>
          <a:effectLst/>
        </c:spPr>
      </c:pivotFmt>
      <c:pivotFmt>
        <c:idx val="28"/>
        <c:spPr>
          <a:solidFill>
            <a:schemeClr val="accent1"/>
          </a:solidFill>
          <a:ln w="28575" cap="rnd">
            <a:solidFill>
              <a:schemeClr val="accent1"/>
            </a:solidFill>
            <a:round/>
          </a:ln>
          <a:effectLst/>
        </c:spPr>
      </c:pivotFmt>
      <c:pivotFmt>
        <c:idx val="29"/>
        <c:spPr>
          <a:solidFill>
            <a:schemeClr val="accent1"/>
          </a:solidFill>
          <a:ln w="28575" cap="rnd">
            <a:solidFill>
              <a:schemeClr val="accent1"/>
            </a:solidFill>
            <a:round/>
          </a:ln>
          <a:effectLst/>
        </c:spPr>
      </c:pivotFmt>
      <c:pivotFmt>
        <c:idx val="30"/>
        <c:spPr>
          <a:solidFill>
            <a:schemeClr val="accent1"/>
          </a:solidFill>
          <a:ln w="28575" cap="rnd">
            <a:solidFill>
              <a:schemeClr val="accent1"/>
            </a:solidFill>
            <a:round/>
          </a:ln>
          <a:effectLst/>
        </c:spPr>
      </c:pivotFmt>
    </c:pivotFmts>
    <c:plotArea>
      <c:layout/>
      <c:lineChart>
        <c:grouping val="standard"/>
        <c:varyColors val="0"/>
        <c:ser>
          <c:idx val="0"/>
          <c:order val="0"/>
          <c:tx>
            <c:strRef>
              <c:f>Sheet3!$K$5</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9905-4777-AA4B-F5BEE0DF3EF1}"/>
              </c:ext>
            </c:extLst>
          </c:dPt>
          <c:cat>
            <c:strRef>
              <c:f>Sheet3!$J$6:$J$7</c:f>
              <c:strCache>
                <c:ptCount val="1"/>
                <c:pt idx="0">
                  <c:v>Keyboard</c:v>
                </c:pt>
              </c:strCache>
            </c:strRef>
          </c:cat>
          <c:val>
            <c:numRef>
              <c:f>Sheet3!$K$6:$K$7</c:f>
              <c:numCache>
                <c:formatCode>General</c:formatCode>
                <c:ptCount val="1"/>
                <c:pt idx="0">
                  <c:v>4800</c:v>
                </c:pt>
              </c:numCache>
            </c:numRef>
          </c:val>
          <c:smooth val="0"/>
          <c:extLst>
            <c:ext xmlns:c16="http://schemas.microsoft.com/office/drawing/2014/chart" uri="{C3380CC4-5D6E-409C-BE32-E72D297353CC}">
              <c16:uniqueId val="{0000001C-9905-4777-AA4B-F5BEE0DF3EF1}"/>
            </c:ext>
          </c:extLst>
        </c:ser>
        <c:dLbls>
          <c:showLegendKey val="0"/>
          <c:showVal val="0"/>
          <c:showCatName val="0"/>
          <c:showSerName val="0"/>
          <c:showPercent val="0"/>
          <c:showBubbleSize val="0"/>
        </c:dLbls>
        <c:smooth val="0"/>
        <c:axId val="67634208"/>
        <c:axId val="67630368"/>
      </c:lineChart>
      <c:catAx>
        <c:axId val="6763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30368"/>
        <c:crosses val="autoZero"/>
        <c:auto val="1"/>
        <c:lblAlgn val="ctr"/>
        <c:lblOffset val="100"/>
        <c:noMultiLvlLbl val="0"/>
      </c:catAx>
      <c:valAx>
        <c:axId val="6763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3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Data.xlsx]Sheet3!PivotTable13</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Algerian" panose="04020705040A02060702" pitchFamily="82" charset="0"/>
                <a:ea typeface="+mn-ea"/>
                <a:cs typeface="+mn-cs"/>
              </a:defRPr>
            </a:pPr>
            <a:r>
              <a:rPr lang="en-US">
                <a:solidFill>
                  <a:schemeClr val="bg1"/>
                </a:solidFill>
                <a:latin typeface="Algerian" panose="04020705040A02060702" pitchFamily="82" charset="0"/>
              </a:rPr>
              <a:t>QUANTITY</a:t>
            </a: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Sheet3!$N$5</c:f>
              <c:strCache>
                <c:ptCount val="1"/>
                <c:pt idx="0">
                  <c:v>Total</c:v>
                </c:pt>
              </c:strCache>
            </c:strRef>
          </c:tx>
          <c:spPr>
            <a:solidFill>
              <a:schemeClr val="accent1"/>
            </a:solidFill>
            <a:ln>
              <a:noFill/>
            </a:ln>
            <a:effectLst/>
          </c:spPr>
          <c:invertIfNegative val="0"/>
          <c:cat>
            <c:strRef>
              <c:f>Sheet3!$M$6:$M$7</c:f>
              <c:strCache>
                <c:ptCount val="1"/>
                <c:pt idx="0">
                  <c:v>Keyboard</c:v>
                </c:pt>
              </c:strCache>
            </c:strRef>
          </c:cat>
          <c:val>
            <c:numRef>
              <c:f>Sheet3!$N$6:$N$7</c:f>
              <c:numCache>
                <c:formatCode>General</c:formatCode>
                <c:ptCount val="1"/>
                <c:pt idx="0">
                  <c:v>1</c:v>
                </c:pt>
              </c:numCache>
            </c:numRef>
          </c:val>
          <c:extLst>
            <c:ext xmlns:c16="http://schemas.microsoft.com/office/drawing/2014/chart" uri="{C3380CC4-5D6E-409C-BE32-E72D297353CC}">
              <c16:uniqueId val="{00000000-6C80-4F5B-82D7-1B0D602A1DD8}"/>
            </c:ext>
          </c:extLst>
        </c:ser>
        <c:dLbls>
          <c:showLegendKey val="0"/>
          <c:showVal val="0"/>
          <c:showCatName val="0"/>
          <c:showSerName val="0"/>
          <c:showPercent val="0"/>
          <c:showBubbleSize val="0"/>
        </c:dLbls>
        <c:gapWidth val="150"/>
        <c:overlap val="100"/>
        <c:axId val="2004239456"/>
        <c:axId val="2004239936"/>
      </c:barChart>
      <c:catAx>
        <c:axId val="200423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239936"/>
        <c:crosses val="autoZero"/>
        <c:auto val="1"/>
        <c:lblAlgn val="ctr"/>
        <c:lblOffset val="100"/>
        <c:noMultiLvlLbl val="0"/>
      </c:catAx>
      <c:valAx>
        <c:axId val="200423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23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Data.xlsx]Sheet3!PivotTable12</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Algerian" panose="04020705040A02060702" pitchFamily="82" charset="0"/>
                <a:ea typeface="+mn-ea"/>
                <a:cs typeface="+mn-cs"/>
              </a:defRPr>
            </a:pPr>
            <a:r>
              <a:rPr lang="en-US">
                <a:solidFill>
                  <a:schemeClr val="bg1"/>
                </a:solidFill>
                <a:latin typeface="Algerian" panose="04020705040A02060702" pitchFamily="82" charset="0"/>
              </a:rPr>
              <a:t>PRICE</a:t>
            </a: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Sheet3!$Q$5</c:f>
              <c:strCache>
                <c:ptCount val="1"/>
                <c:pt idx="0">
                  <c:v>Total</c:v>
                </c:pt>
              </c:strCache>
            </c:strRef>
          </c:tx>
          <c:spPr>
            <a:solidFill>
              <a:schemeClr val="accent1"/>
            </a:solidFill>
            <a:ln>
              <a:noFill/>
            </a:ln>
            <a:effectLst/>
          </c:spPr>
          <c:cat>
            <c:strRef>
              <c:f>Sheet3!$P$6:$P$7</c:f>
              <c:strCache>
                <c:ptCount val="1"/>
                <c:pt idx="0">
                  <c:v>Keyboard</c:v>
                </c:pt>
              </c:strCache>
            </c:strRef>
          </c:cat>
          <c:val>
            <c:numRef>
              <c:f>Sheet3!$Q$6:$Q$7</c:f>
              <c:numCache>
                <c:formatCode>General</c:formatCode>
                <c:ptCount val="1"/>
                <c:pt idx="0">
                  <c:v>4800</c:v>
                </c:pt>
              </c:numCache>
            </c:numRef>
          </c:val>
          <c:extLst>
            <c:ext xmlns:c16="http://schemas.microsoft.com/office/drawing/2014/chart" uri="{C3380CC4-5D6E-409C-BE32-E72D297353CC}">
              <c16:uniqueId val="{00000000-B35C-4FDC-B02A-E97A60A4FD26}"/>
            </c:ext>
          </c:extLst>
        </c:ser>
        <c:dLbls>
          <c:showLegendKey val="0"/>
          <c:showVal val="0"/>
          <c:showCatName val="0"/>
          <c:showSerName val="0"/>
          <c:showPercent val="0"/>
          <c:showBubbleSize val="0"/>
        </c:dLbls>
        <c:axId val="2004243776"/>
        <c:axId val="1543386000"/>
      </c:areaChart>
      <c:catAx>
        <c:axId val="2004243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386000"/>
        <c:crosses val="autoZero"/>
        <c:auto val="1"/>
        <c:lblAlgn val="ctr"/>
        <c:lblOffset val="100"/>
        <c:noMultiLvlLbl val="0"/>
      </c:catAx>
      <c:valAx>
        <c:axId val="154338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2437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Data.xlsx]Sheet3!PivotTable15</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Algerian" panose="04020705040A02060702" pitchFamily="82" charset="0"/>
                <a:ea typeface="+mn-ea"/>
                <a:cs typeface="+mn-cs"/>
              </a:defRPr>
            </a:pPr>
            <a:r>
              <a:rPr lang="en-US">
                <a:solidFill>
                  <a:schemeClr val="bg1"/>
                </a:solidFill>
                <a:latin typeface="Algerian" panose="04020705040A02060702" pitchFamily="82" charset="0"/>
              </a:rPr>
              <a:t>SALES_ID</a:t>
            </a: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Sheet3!$B$5</c:f>
              <c:strCache>
                <c:ptCount val="1"/>
                <c:pt idx="0">
                  <c:v>Total</c:v>
                </c:pt>
              </c:strCache>
            </c:strRef>
          </c:tx>
          <c:spPr>
            <a:solidFill>
              <a:schemeClr val="accent1"/>
            </a:solidFill>
            <a:ln>
              <a:noFill/>
            </a:ln>
            <a:effectLst/>
          </c:spPr>
          <c:invertIfNegative val="0"/>
          <c:cat>
            <c:strRef>
              <c:f>Sheet3!$A$6:$A$7</c:f>
              <c:strCache>
                <c:ptCount val="1"/>
                <c:pt idx="0">
                  <c:v>36</c:v>
                </c:pt>
              </c:strCache>
            </c:strRef>
          </c:cat>
          <c:val>
            <c:numRef>
              <c:f>Sheet3!$B$6:$B$7</c:f>
              <c:numCache>
                <c:formatCode>General</c:formatCode>
                <c:ptCount val="1"/>
                <c:pt idx="0">
                  <c:v>4800</c:v>
                </c:pt>
              </c:numCache>
            </c:numRef>
          </c:val>
          <c:extLst>
            <c:ext xmlns:c16="http://schemas.microsoft.com/office/drawing/2014/chart" uri="{C3380CC4-5D6E-409C-BE32-E72D297353CC}">
              <c16:uniqueId val="{00000000-488E-48AD-8783-771B3C44EB2D}"/>
            </c:ext>
          </c:extLst>
        </c:ser>
        <c:dLbls>
          <c:showLegendKey val="0"/>
          <c:showVal val="0"/>
          <c:showCatName val="0"/>
          <c:showSerName val="0"/>
          <c:showPercent val="0"/>
          <c:showBubbleSize val="0"/>
        </c:dLbls>
        <c:gapWidth val="219"/>
        <c:overlap val="-27"/>
        <c:axId val="1550575136"/>
        <c:axId val="1550575616"/>
      </c:barChart>
      <c:catAx>
        <c:axId val="155057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75616"/>
        <c:crosses val="autoZero"/>
        <c:auto val="1"/>
        <c:lblAlgn val="ctr"/>
        <c:lblOffset val="100"/>
        <c:noMultiLvlLbl val="0"/>
      </c:catAx>
      <c:valAx>
        <c:axId val="155057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7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342900</xdr:colOff>
      <xdr:row>2</xdr:row>
      <xdr:rowOff>152400</xdr:rowOff>
    </xdr:from>
    <xdr:to>
      <xdr:col>18</xdr:col>
      <xdr:colOff>533400</xdr:colOff>
      <xdr:row>12</xdr:row>
      <xdr:rowOff>91440</xdr:rowOff>
    </xdr:to>
    <xdr:graphicFrame macro="">
      <xdr:nvGraphicFramePr>
        <xdr:cNvPr id="5" name="Chart 4">
          <a:extLst>
            <a:ext uri="{FF2B5EF4-FFF2-40B4-BE49-F238E27FC236}">
              <a16:creationId xmlns:a16="http://schemas.microsoft.com/office/drawing/2014/main" id="{44FD2AE5-44A5-44AB-ACC4-FEB64F40B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2</xdr:row>
      <xdr:rowOff>160020</xdr:rowOff>
    </xdr:from>
    <xdr:to>
      <xdr:col>12</xdr:col>
      <xdr:colOff>160020</xdr:colOff>
      <xdr:row>12</xdr:row>
      <xdr:rowOff>106680</xdr:rowOff>
    </xdr:to>
    <xdr:graphicFrame macro="">
      <xdr:nvGraphicFramePr>
        <xdr:cNvPr id="6" name="Chart 5">
          <a:extLst>
            <a:ext uri="{FF2B5EF4-FFF2-40B4-BE49-F238E27FC236}">
              <a16:creationId xmlns:a16="http://schemas.microsoft.com/office/drawing/2014/main" id="{D4B15B44-7236-4821-85E6-62D48E69E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106680</xdr:rowOff>
    </xdr:from>
    <xdr:to>
      <xdr:col>5</xdr:col>
      <xdr:colOff>411480</xdr:colOff>
      <xdr:row>25</xdr:row>
      <xdr:rowOff>129540</xdr:rowOff>
    </xdr:to>
    <xdr:graphicFrame macro="">
      <xdr:nvGraphicFramePr>
        <xdr:cNvPr id="7" name="Chart 6">
          <a:extLst>
            <a:ext uri="{FF2B5EF4-FFF2-40B4-BE49-F238E27FC236}">
              <a16:creationId xmlns:a16="http://schemas.microsoft.com/office/drawing/2014/main" id="{F9FBA558-FB4E-41F1-9405-8C3F168AB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601980</xdr:colOff>
      <xdr:row>14</xdr:row>
      <xdr:rowOff>129540</xdr:rowOff>
    </xdr:from>
    <xdr:to>
      <xdr:col>12</xdr:col>
      <xdr:colOff>114300</xdr:colOff>
      <xdr:row>25</xdr:row>
      <xdr:rowOff>68580</xdr:rowOff>
    </xdr:to>
    <xdr:graphicFrame macro="">
      <xdr:nvGraphicFramePr>
        <xdr:cNvPr id="8" name="Chart 7">
          <a:extLst>
            <a:ext uri="{FF2B5EF4-FFF2-40B4-BE49-F238E27FC236}">
              <a16:creationId xmlns:a16="http://schemas.microsoft.com/office/drawing/2014/main" id="{E5A199BF-9DA2-4B39-A071-DA76CEC05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304800</xdr:colOff>
      <xdr:row>14</xdr:row>
      <xdr:rowOff>68580</xdr:rowOff>
    </xdr:from>
    <xdr:to>
      <xdr:col>18</xdr:col>
      <xdr:colOff>137160</xdr:colOff>
      <xdr:row>25</xdr:row>
      <xdr:rowOff>121920</xdr:rowOff>
    </xdr:to>
    <xdr:graphicFrame macro="">
      <xdr:nvGraphicFramePr>
        <xdr:cNvPr id="10" name="Chart 9">
          <a:extLst>
            <a:ext uri="{FF2B5EF4-FFF2-40B4-BE49-F238E27FC236}">
              <a16:creationId xmlns:a16="http://schemas.microsoft.com/office/drawing/2014/main" id="{661D9B7E-5713-4CCB-BE1A-E8FE6B61E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586740</xdr:colOff>
      <xdr:row>14</xdr:row>
      <xdr:rowOff>129541</xdr:rowOff>
    </xdr:from>
    <xdr:to>
      <xdr:col>23</xdr:col>
      <xdr:colOff>152400</xdr:colOff>
      <xdr:row>25</xdr:row>
      <xdr:rowOff>106680</xdr:rowOff>
    </xdr:to>
    <mc:AlternateContent xmlns:mc="http://schemas.openxmlformats.org/markup-compatibility/2006" xmlns:a14="http://schemas.microsoft.com/office/drawing/2010/main">
      <mc:Choice Requires="a14">
        <xdr:graphicFrame macro="">
          <xdr:nvGraphicFramePr>
            <xdr:cNvPr id="11" name="Date">
              <a:extLst>
                <a:ext uri="{FF2B5EF4-FFF2-40B4-BE49-F238E27FC236}">
                  <a16:creationId xmlns:a16="http://schemas.microsoft.com/office/drawing/2014/main" id="{40C2B0A7-F696-54FF-4BB4-B33199BDC9F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2778740" y="2895601"/>
              <a:ext cx="1394460" cy="1988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175260</xdr:colOff>
      <xdr:row>2</xdr:row>
      <xdr:rowOff>76200</xdr:rowOff>
    </xdr:from>
    <xdr:to>
      <xdr:col>23</xdr:col>
      <xdr:colOff>487680</xdr:colOff>
      <xdr:row>12</xdr:row>
      <xdr:rowOff>175259</xdr:rowOff>
    </xdr:to>
    <mc:AlternateContent xmlns:mc="http://schemas.openxmlformats.org/markup-compatibility/2006" xmlns:a14="http://schemas.microsoft.com/office/drawing/2010/main">
      <mc:Choice Requires="a14">
        <xdr:graphicFrame macro="">
          <xdr:nvGraphicFramePr>
            <xdr:cNvPr id="13" name="Name,Product">
              <a:extLst>
                <a:ext uri="{FF2B5EF4-FFF2-40B4-BE49-F238E27FC236}">
                  <a16:creationId xmlns:a16="http://schemas.microsoft.com/office/drawing/2014/main" id="{053EAC2D-20A7-282F-D333-2E76C2A53AAE}"/>
                </a:ext>
              </a:extLst>
            </xdr:cNvPr>
            <xdr:cNvGraphicFramePr/>
          </xdr:nvGraphicFramePr>
          <xdr:xfrm>
            <a:off x="0" y="0"/>
            <a:ext cx="0" cy="0"/>
          </xdr:xfrm>
          <a:graphic>
            <a:graphicData uri="http://schemas.microsoft.com/office/drawing/2010/slicer">
              <sle:slicer xmlns:sle="http://schemas.microsoft.com/office/drawing/2010/slicer" name="Name,Product"/>
            </a:graphicData>
          </a:graphic>
        </xdr:graphicFrame>
      </mc:Choice>
      <mc:Fallback xmlns="">
        <xdr:sp macro="" textlink="">
          <xdr:nvSpPr>
            <xdr:cNvPr id="0" name=""/>
            <xdr:cNvSpPr>
              <a:spLocks noTextEdit="1"/>
            </xdr:cNvSpPr>
          </xdr:nvSpPr>
          <xdr:spPr>
            <a:xfrm>
              <a:off x="12976860" y="647700"/>
              <a:ext cx="1531620" cy="1927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xdr:colOff>
      <xdr:row>2</xdr:row>
      <xdr:rowOff>45721</xdr:rowOff>
    </xdr:from>
    <xdr:to>
      <xdr:col>21</xdr:col>
      <xdr:colOff>91440</xdr:colOff>
      <xdr:row>13</xdr:row>
      <xdr:rowOff>7620</xdr:rowOff>
    </xdr:to>
    <mc:AlternateContent xmlns:mc="http://schemas.openxmlformats.org/markup-compatibility/2006" xmlns:a14="http://schemas.microsoft.com/office/drawing/2010/main">
      <mc:Choice Requires="a14">
        <xdr:graphicFrame macro="">
          <xdr:nvGraphicFramePr>
            <xdr:cNvPr id="15" name="Price">
              <a:extLst>
                <a:ext uri="{FF2B5EF4-FFF2-40B4-BE49-F238E27FC236}">
                  <a16:creationId xmlns:a16="http://schemas.microsoft.com/office/drawing/2014/main" id="{F0D3DA26-A30F-BFDF-267F-832E1B4461B5}"/>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11590020" y="617221"/>
              <a:ext cx="1303020" cy="1973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274320</xdr:colOff>
      <xdr:row>14</xdr:row>
      <xdr:rowOff>106681</xdr:rowOff>
    </xdr:from>
    <xdr:to>
      <xdr:col>20</xdr:col>
      <xdr:colOff>464820</xdr:colOff>
      <xdr:row>25</xdr:row>
      <xdr:rowOff>114301</xdr:rowOff>
    </xdr:to>
    <mc:AlternateContent xmlns:mc="http://schemas.openxmlformats.org/markup-compatibility/2006" xmlns:a14="http://schemas.microsoft.com/office/drawing/2010/main">
      <mc:Choice Requires="a14">
        <xdr:graphicFrame macro="">
          <xdr:nvGraphicFramePr>
            <xdr:cNvPr id="17" name="Customer_Name">
              <a:extLst>
                <a:ext uri="{FF2B5EF4-FFF2-40B4-BE49-F238E27FC236}">
                  <a16:creationId xmlns:a16="http://schemas.microsoft.com/office/drawing/2014/main" id="{99149949-35F4-DA48-F6DF-859C05C04660}"/>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11247120" y="2872741"/>
              <a:ext cx="140970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2</xdr:row>
      <xdr:rowOff>137160</xdr:rowOff>
    </xdr:from>
    <xdr:to>
      <xdr:col>5</xdr:col>
      <xdr:colOff>480060</xdr:colOff>
      <xdr:row>13</xdr:row>
      <xdr:rowOff>15240</xdr:rowOff>
    </xdr:to>
    <xdr:graphicFrame macro="">
      <xdr:nvGraphicFramePr>
        <xdr:cNvPr id="19" name="Chart 18">
          <a:extLst>
            <a:ext uri="{FF2B5EF4-FFF2-40B4-BE49-F238E27FC236}">
              <a16:creationId xmlns:a16="http://schemas.microsoft.com/office/drawing/2014/main" id="{C6A87F2E-ABA0-4812-82EA-737D44BA9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refreshedDate="45999.415171412038" createdVersion="8" refreshedVersion="8" minRefreshableVersion="3" recordCount="100" xr:uid="{09A99D12-675A-4916-9382-AEC0AFCA3456}">
  <cacheSource type="worksheet">
    <worksheetSource ref="A3:G103" sheet="Sheet1"/>
  </cacheSource>
  <cacheFields count="9">
    <cacheField name="Sale_ID" numFmtId="0">
      <sharedItems containsSemiMixedTypes="0" containsString="0" containsNumber="1" containsInteger="1" minValue="1" maxValue="100" count="1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sharedItems>
    </cacheField>
    <cacheField name="Date" numFmtId="14">
      <sharedItems containsSemiMixedTypes="0" containsNonDate="0" containsDate="1" containsString="0" minDate="2025-01-01T00:00:00" maxDate="2025-02-21T00:00:00" count="5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sharedItems>
      <fieldGroup par="8"/>
    </cacheField>
    <cacheField name="Customer_Name" numFmtId="0">
      <sharedItems count="97">
        <s v="Rahul Sharma"/>
        <s v="Anita Verma"/>
        <s v="Amit Singh"/>
        <s v="Sunita Gupta"/>
        <s v="Rakesh Yadav"/>
        <s v="Kiran Patel"/>
        <s v="Meena Sharma"/>
        <s v="Vikram Jain"/>
        <s v="Deepak Sahu"/>
        <s v="Pooja Mehta"/>
        <s v="Rajesh Kuma"/>
        <s v="Neha Rani"/>
        <s v="Arjun Das"/>
        <s v="Shalini Pathak"/>
        <s v="Harish Verma"/>
        <s v="Sanya Kapoor"/>
        <s v="Rohit Singh"/>
        <s v="Monu Yadav"/>
        <s v="Tina Ahuja"/>
        <s v="Krish Dutta"/>
        <s v="Ajay Verma"/>
        <s v="Kajal Singh"/>
        <s v="Vivek Chauhan"/>
        <s v="Simran Kaur"/>
        <s v="Manish Tiwari"/>
        <s v="Reena Sahu"/>
        <s v="Keshav Jaiswal"/>
        <s v="Varsha Pandey"/>
        <s v="Anmol Jain"/>
        <s v="Preeti Sharma"/>
        <s v="Sameer Khan"/>
        <s v="Anjali Singh"/>
        <s v="Sachin Gupta"/>
        <s v="Sweety Yadav"/>
        <s v="Nikhil Taneja"/>
        <s v="Divya Mehta"/>
        <s v="Rohit Sharma"/>
        <s v="Jyoti Verma"/>
        <s v="Rajdeep Singh"/>
        <s v="Sneha Kapoor"/>
        <s v="Aryan Pandey"/>
        <s v="Kavita Chauhan"/>
        <s v="Imran Sheikh"/>
        <s v="Naina Rani"/>
        <s v="Lokesh Yadav"/>
        <s v="Garima Jain"/>
        <s v="Vinay Singh"/>
        <s v="Ritu Das"/>
        <s v="Aadesh Mishra"/>
        <s v="Shristi Pandey"/>
        <s v="Naman Gupta"/>
        <s v="Rekha Sharma"/>
        <s v="Sachin Mehta"/>
        <s v="Priya Yadav"/>
        <s v="Ravi Singh"/>
        <s v="Ankita Kumari"/>
        <s v="Vikas Jain"/>
        <s v="Neelam Gupta"/>
        <s v="Harsh Tiwari"/>
        <s v="Simi Chauhan"/>
        <s v="Aditya Rao"/>
        <s v="Shreya Patel"/>
        <s v="Karan Singh"/>
        <s v="Payal Mehta"/>
        <s v="Arvind Joshi"/>
        <s v="Divya Soni"/>
        <s v="Sahil Khan"/>
        <s v="Aarti Singh"/>
        <s v="Riya Das"/>
        <s v="Nitin Sharma"/>
        <s v="Anurag Verma"/>
        <s v="Pooja Sen"/>
        <s v="Rohit Chauhan"/>
        <s v="Nisha Jain"/>
        <s v="Shubham Yadav"/>
        <s v="Dimple Singh"/>
        <s v="Mukesh Gupta"/>
        <s v="Asha Verma"/>
        <s v="Rajkumar Thakur"/>
        <s v="Kusum Shetty"/>
        <s v="Anup Singh"/>
        <s v="Ritika Shah"/>
        <s v="Rahul Jain"/>
        <s v="Sonu Yadav"/>
        <s v="Rohini Singh"/>
        <s v="Deepa Das"/>
        <s v="Arman Ali"/>
        <s v="Priyanka Dutta"/>
        <s v="Vedant Kumar"/>
        <s v="Yash Sharma"/>
        <s v="Suhani Gupt"/>
        <s v="Ritik Mehra"/>
        <s v="Mansi Tiwari"/>
        <s v="Karan Patel"/>
        <s v="Sonia Gupta"/>
        <s v="Sameer Yadav"/>
        <s v="Khushi Jain"/>
      </sharedItems>
    </cacheField>
    <cacheField name="Name,Product" numFmtId="0">
      <sharedItems count="14">
        <s v="Mobile"/>
        <s v="Laptop"/>
        <s v="Headphones"/>
        <s v="Smartwatch"/>
        <s v="Keyboard"/>
        <s v="Mouse"/>
        <s v="Monitor"/>
        <s v="USB "/>
        <s v="Charger"/>
        <s v="Mobile "/>
        <s v="Tablet"/>
        <s v="Earbuds"/>
        <s v="USB Cable"/>
        <s v="Mobile Cover"/>
      </sharedItems>
    </cacheField>
    <cacheField name="Quantity" numFmtId="0">
      <sharedItems containsSemiMixedTypes="0" containsString="0" containsNumber="1" containsInteger="1" minValue="1" maxValue="5" count="5">
        <n v="1"/>
        <n v="2"/>
        <n v="3"/>
        <n v="4"/>
        <n v="5"/>
      </sharedItems>
    </cacheField>
    <cacheField name="Price" numFmtId="0">
      <sharedItems containsSemiMixedTypes="0" containsString="0" containsNumber="1" containsInteger="1" minValue="150" maxValue="55000" count="79">
        <n v="15000"/>
        <n v="52000"/>
        <n v="4500"/>
        <n v="700"/>
        <n v="500"/>
        <n v="12000"/>
        <n v="18000"/>
        <n v="4200"/>
        <n v="1800"/>
        <n v="150"/>
        <n v="55000"/>
        <n v="20000"/>
        <n v="1200"/>
        <n v="5000"/>
        <n v="800"/>
        <n v="600"/>
        <n v="16000"/>
        <n v="2750"/>
        <n v="5180"/>
        <n v="48000"/>
        <n v="11000"/>
        <n v="1000"/>
        <n v="22000"/>
        <n v="750"/>
        <n v="1850"/>
        <n v="3550"/>
        <n v="17000"/>
        <n v="4180"/>
        <n v="51000"/>
        <n v="1100"/>
        <n v="4800"/>
        <n v="3190"/>
        <n v="13000"/>
        <n v="1700"/>
        <n v="16500"/>
        <n v="2200"/>
        <n v="12500"/>
        <n v="2650"/>
        <n v="15300"/>
        <n v="4185"/>
        <n v="1900"/>
        <n v="1580"/>
        <n v="17500"/>
        <n v="21500"/>
        <n v="3750"/>
        <n v="11600"/>
        <n v="14900"/>
        <n v="16600"/>
        <n v="16800"/>
        <n v="2520"/>
        <n v="1820"/>
        <n v="3200"/>
        <n v="13500"/>
        <n v="3160"/>
        <n v="1780"/>
        <n v="15200"/>
        <n v="15800"/>
        <n v="2850"/>
        <n v="14000"/>
        <n v="11150"/>
        <n v="22500"/>
        <n v="2720"/>
        <n v="11550"/>
        <n v="15100"/>
        <n v="2560"/>
        <n v="3180"/>
        <n v="54000"/>
        <n v="5200"/>
        <n v="16200"/>
        <n v="13200"/>
        <n v="24800"/>
        <n v="720"/>
        <n v="1550"/>
        <n v="5100"/>
        <n v="2260"/>
        <n v="900"/>
        <n v="180"/>
        <n v="4205"/>
        <n v="17800"/>
      </sharedItems>
    </cacheField>
    <cacheField name="Total_Amount" numFmtId="0">
      <sharedItems containsSemiMixedTypes="0" containsString="0" containsNumber="1" containsInteger="1" minValue="400" maxValue="55000"/>
    </cacheField>
    <cacheField name="Days (Date)" numFmtId="0" databaseField="0">
      <fieldGroup base="1">
        <rangePr groupBy="days" startDate="2025-01-01T00:00:00" endDate="2025-02-2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2-2025"/>
        </groupItems>
      </fieldGroup>
    </cacheField>
    <cacheField name="Months (Date)" numFmtId="0" databaseField="0">
      <fieldGroup base="1">
        <rangePr groupBy="months" startDate="2025-01-01T00:00:00" endDate="2025-02-21T00:00:00"/>
        <groupItems count="14">
          <s v="&lt;01-01-2025"/>
          <s v="Jan"/>
          <s v="Feb"/>
          <s v="Mar"/>
          <s v="Apr"/>
          <s v="May"/>
          <s v="Jun"/>
          <s v="Jul"/>
          <s v="Aug"/>
          <s v="Sep"/>
          <s v="Oct"/>
          <s v="Nov"/>
          <s v="Dec"/>
          <s v="&gt;21-02-2025"/>
        </groupItems>
      </fieldGroup>
    </cacheField>
  </cacheFields>
  <extLst>
    <ext xmlns:x14="http://schemas.microsoft.com/office/spreadsheetml/2009/9/main" uri="{725AE2AE-9491-48be-B2B4-4EB974FC3084}">
      <x14:pivotCacheDefinition pivotCacheId="1215601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n v="15000"/>
  </r>
  <r>
    <x v="1"/>
    <x v="0"/>
    <x v="1"/>
    <x v="1"/>
    <x v="0"/>
    <x v="1"/>
    <n v="52000"/>
  </r>
  <r>
    <x v="2"/>
    <x v="1"/>
    <x v="2"/>
    <x v="2"/>
    <x v="1"/>
    <x v="0"/>
    <n v="3000"/>
  </r>
  <r>
    <x v="3"/>
    <x v="1"/>
    <x v="3"/>
    <x v="3"/>
    <x v="0"/>
    <x v="2"/>
    <n v="4500"/>
  </r>
  <r>
    <x v="4"/>
    <x v="2"/>
    <x v="4"/>
    <x v="4"/>
    <x v="2"/>
    <x v="3"/>
    <n v="2100"/>
  </r>
  <r>
    <x v="5"/>
    <x v="2"/>
    <x v="5"/>
    <x v="5"/>
    <x v="1"/>
    <x v="4"/>
    <n v="1000"/>
  </r>
  <r>
    <x v="6"/>
    <x v="3"/>
    <x v="6"/>
    <x v="6"/>
    <x v="0"/>
    <x v="5"/>
    <n v="12000"/>
  </r>
  <r>
    <x v="7"/>
    <x v="3"/>
    <x v="7"/>
    <x v="0"/>
    <x v="0"/>
    <x v="6"/>
    <n v="18000"/>
  </r>
  <r>
    <x v="8"/>
    <x v="4"/>
    <x v="8"/>
    <x v="7"/>
    <x v="3"/>
    <x v="7"/>
    <n v="800"/>
  </r>
  <r>
    <x v="9"/>
    <x v="4"/>
    <x v="9"/>
    <x v="8"/>
    <x v="0"/>
    <x v="8"/>
    <n v="800"/>
  </r>
  <r>
    <x v="10"/>
    <x v="4"/>
    <x v="10"/>
    <x v="9"/>
    <x v="2"/>
    <x v="9"/>
    <n v="450"/>
  </r>
  <r>
    <x v="11"/>
    <x v="5"/>
    <x v="11"/>
    <x v="1"/>
    <x v="0"/>
    <x v="10"/>
    <n v="55000"/>
  </r>
  <r>
    <x v="12"/>
    <x v="5"/>
    <x v="12"/>
    <x v="10"/>
    <x v="0"/>
    <x v="11"/>
    <n v="20000"/>
  </r>
  <r>
    <x v="13"/>
    <x v="6"/>
    <x v="13"/>
    <x v="11"/>
    <x v="1"/>
    <x v="12"/>
    <n v="2400"/>
  </r>
  <r>
    <x v="14"/>
    <x v="6"/>
    <x v="14"/>
    <x v="3"/>
    <x v="0"/>
    <x v="13"/>
    <n v="5000"/>
  </r>
  <r>
    <x v="15"/>
    <x v="7"/>
    <x v="15"/>
    <x v="4"/>
    <x v="0"/>
    <x v="14"/>
    <n v="800"/>
  </r>
  <r>
    <x v="16"/>
    <x v="7"/>
    <x v="16"/>
    <x v="5"/>
    <x v="0"/>
    <x v="15"/>
    <n v="600"/>
  </r>
  <r>
    <x v="17"/>
    <x v="8"/>
    <x v="17"/>
    <x v="0"/>
    <x v="0"/>
    <x v="16"/>
    <n v="16000"/>
  </r>
  <r>
    <x v="18"/>
    <x v="8"/>
    <x v="18"/>
    <x v="8"/>
    <x v="1"/>
    <x v="17"/>
    <n v="1500"/>
  </r>
  <r>
    <x v="19"/>
    <x v="9"/>
    <x v="19"/>
    <x v="12"/>
    <x v="4"/>
    <x v="18"/>
    <n v="900"/>
  </r>
  <r>
    <x v="20"/>
    <x v="9"/>
    <x v="20"/>
    <x v="1"/>
    <x v="0"/>
    <x v="19"/>
    <n v="48000"/>
  </r>
  <r>
    <x v="21"/>
    <x v="10"/>
    <x v="21"/>
    <x v="6"/>
    <x v="0"/>
    <x v="20"/>
    <n v="11000"/>
  </r>
  <r>
    <x v="22"/>
    <x v="10"/>
    <x v="22"/>
    <x v="11"/>
    <x v="0"/>
    <x v="21"/>
    <n v="1000"/>
  </r>
  <r>
    <x v="23"/>
    <x v="11"/>
    <x v="23"/>
    <x v="3"/>
    <x v="1"/>
    <x v="7"/>
    <n v="8400"/>
  </r>
  <r>
    <x v="24"/>
    <x v="11"/>
    <x v="24"/>
    <x v="10"/>
    <x v="0"/>
    <x v="22"/>
    <n v="22000"/>
  </r>
  <r>
    <x v="25"/>
    <x v="12"/>
    <x v="25"/>
    <x v="4"/>
    <x v="2"/>
    <x v="21"/>
    <n v="1000"/>
  </r>
  <r>
    <x v="26"/>
    <x v="12"/>
    <x v="26"/>
    <x v="8"/>
    <x v="0"/>
    <x v="7"/>
    <n v="8400"/>
  </r>
  <r>
    <x v="27"/>
    <x v="13"/>
    <x v="27"/>
    <x v="5"/>
    <x v="3"/>
    <x v="22"/>
    <n v="22000"/>
  </r>
  <r>
    <x v="28"/>
    <x v="13"/>
    <x v="28"/>
    <x v="0"/>
    <x v="0"/>
    <x v="23"/>
    <n v="1500"/>
  </r>
  <r>
    <x v="29"/>
    <x v="14"/>
    <x v="29"/>
    <x v="13"/>
    <x v="1"/>
    <x v="24"/>
    <n v="850"/>
  </r>
  <r>
    <x v="30"/>
    <x v="14"/>
    <x v="30"/>
    <x v="1"/>
    <x v="0"/>
    <x v="25"/>
    <n v="1650"/>
  </r>
  <r>
    <x v="31"/>
    <x v="15"/>
    <x v="31"/>
    <x v="11"/>
    <x v="1"/>
    <x v="26"/>
    <n v="17000"/>
  </r>
  <r>
    <x v="32"/>
    <x v="15"/>
    <x v="32"/>
    <x v="3"/>
    <x v="0"/>
    <x v="27"/>
    <n v="720"/>
  </r>
  <r>
    <x v="33"/>
    <x v="16"/>
    <x v="33"/>
    <x v="12"/>
    <x v="2"/>
    <x v="28"/>
    <n v="51000"/>
  </r>
  <r>
    <x v="34"/>
    <x v="16"/>
    <x v="34"/>
    <x v="6"/>
    <x v="0"/>
    <x v="29"/>
    <n v="2200"/>
  </r>
  <r>
    <x v="35"/>
    <x v="17"/>
    <x v="35"/>
    <x v="4"/>
    <x v="0"/>
    <x v="30"/>
    <n v="4800"/>
  </r>
  <r>
    <x v="36"/>
    <x v="17"/>
    <x v="36"/>
    <x v="10"/>
    <x v="0"/>
    <x v="31"/>
    <n v="570"/>
  </r>
  <r>
    <x v="37"/>
    <x v="18"/>
    <x v="37"/>
    <x v="5"/>
    <x v="1"/>
    <x v="32"/>
    <n v="13000"/>
  </r>
  <r>
    <x v="38"/>
    <x v="18"/>
    <x v="38"/>
    <x v="8"/>
    <x v="1"/>
    <x v="33"/>
    <n v="700"/>
  </r>
  <r>
    <x v="39"/>
    <x v="19"/>
    <x v="39"/>
    <x v="2"/>
    <x v="0"/>
    <x v="34"/>
    <n v="16500"/>
  </r>
  <r>
    <x v="40"/>
    <x v="19"/>
    <x v="40"/>
    <x v="0"/>
    <x v="0"/>
    <x v="35"/>
    <n v="400"/>
  </r>
  <r>
    <x v="41"/>
    <x v="20"/>
    <x v="41"/>
    <x v="13"/>
    <x v="1"/>
    <x v="36"/>
    <n v="12500"/>
  </r>
  <r>
    <x v="42"/>
    <x v="20"/>
    <x v="42"/>
    <x v="6"/>
    <x v="0"/>
    <x v="5"/>
    <n v="12000"/>
  </r>
  <r>
    <x v="43"/>
    <x v="21"/>
    <x v="43"/>
    <x v="11"/>
    <x v="0"/>
    <x v="37"/>
    <n v="1300"/>
  </r>
  <r>
    <x v="44"/>
    <x v="21"/>
    <x v="44"/>
    <x v="4"/>
    <x v="1"/>
    <x v="38"/>
    <n v="5300"/>
  </r>
  <r>
    <x v="45"/>
    <x v="22"/>
    <x v="45"/>
    <x v="3"/>
    <x v="0"/>
    <x v="39"/>
    <n v="740"/>
  </r>
  <r>
    <x v="46"/>
    <x v="22"/>
    <x v="46"/>
    <x v="12"/>
    <x v="3"/>
    <x v="40"/>
    <n v="900"/>
  </r>
  <r>
    <x v="47"/>
    <x v="23"/>
    <x v="47"/>
    <x v="8"/>
    <x v="0"/>
    <x v="41"/>
    <n v="580"/>
  </r>
  <r>
    <x v="48"/>
    <x v="23"/>
    <x v="48"/>
    <x v="5"/>
    <x v="0"/>
    <x v="42"/>
    <n v="17500"/>
  </r>
  <r>
    <x v="49"/>
    <x v="24"/>
    <x v="49"/>
    <x v="0"/>
    <x v="0"/>
    <x v="43"/>
    <n v="21500"/>
  </r>
  <r>
    <x v="50"/>
    <x v="24"/>
    <x v="50"/>
    <x v="10"/>
    <x v="2"/>
    <x v="44"/>
    <n v="2250"/>
  </r>
  <r>
    <x v="51"/>
    <x v="25"/>
    <x v="51"/>
    <x v="4"/>
    <x v="0"/>
    <x v="45"/>
    <n v="1600"/>
  </r>
  <r>
    <x v="52"/>
    <x v="25"/>
    <x v="52"/>
    <x v="2"/>
    <x v="0"/>
    <x v="46"/>
    <n v="4900"/>
  </r>
  <r>
    <x v="53"/>
    <x v="26"/>
    <x v="53"/>
    <x v="3"/>
    <x v="0"/>
    <x v="47"/>
    <n v="1600"/>
  </r>
  <r>
    <x v="54"/>
    <x v="26"/>
    <x v="54"/>
    <x v="0"/>
    <x v="1"/>
    <x v="46"/>
    <n v="4900"/>
  </r>
  <r>
    <x v="55"/>
    <x v="27"/>
    <x v="55"/>
    <x v="5"/>
    <x v="0"/>
    <x v="48"/>
    <n v="16800"/>
  </r>
  <r>
    <x v="56"/>
    <x v="27"/>
    <x v="56"/>
    <x v="8"/>
    <x v="1"/>
    <x v="49"/>
    <n v="1040"/>
  </r>
  <r>
    <x v="57"/>
    <x v="28"/>
    <x v="57"/>
    <x v="12"/>
    <x v="2"/>
    <x v="50"/>
    <n v="820"/>
  </r>
  <r>
    <x v="58"/>
    <x v="28"/>
    <x v="58"/>
    <x v="6"/>
    <x v="0"/>
    <x v="51"/>
    <n v="600"/>
  </r>
  <r>
    <x v="59"/>
    <x v="29"/>
    <x v="59"/>
    <x v="11"/>
    <x v="1"/>
    <x v="52"/>
    <n v="53000"/>
  </r>
  <r>
    <x v="60"/>
    <x v="29"/>
    <x v="60"/>
    <x v="1"/>
    <x v="0"/>
    <x v="53"/>
    <n v="480"/>
  </r>
  <r>
    <x v="61"/>
    <x v="30"/>
    <x v="61"/>
    <x v="13"/>
    <x v="2"/>
    <x v="54"/>
    <n v="780"/>
  </r>
  <r>
    <x v="62"/>
    <x v="30"/>
    <x v="62"/>
    <x v="4"/>
    <x v="0"/>
    <x v="55"/>
    <n v="5200"/>
  </r>
  <r>
    <x v="63"/>
    <x v="31"/>
    <x v="63"/>
    <x v="3"/>
    <x v="0"/>
    <x v="41"/>
    <n v="580"/>
  </r>
  <r>
    <x v="64"/>
    <x v="31"/>
    <x v="64"/>
    <x v="5"/>
    <x v="0"/>
    <x v="56"/>
    <n v="15800"/>
  </r>
  <r>
    <x v="65"/>
    <x v="32"/>
    <x v="65"/>
    <x v="0"/>
    <x v="0"/>
    <x v="56"/>
    <n v="760"/>
  </r>
  <r>
    <x v="66"/>
    <x v="32"/>
    <x v="66"/>
    <x v="12"/>
    <x v="3"/>
    <x v="57"/>
    <n v="1700"/>
  </r>
  <r>
    <x v="67"/>
    <x v="33"/>
    <x v="67"/>
    <x v="8"/>
    <x v="1"/>
    <x v="58"/>
    <n v="14000"/>
  </r>
  <r>
    <x v="68"/>
    <x v="33"/>
    <x v="68"/>
    <x v="6"/>
    <x v="0"/>
    <x v="59"/>
    <n v="1150"/>
  </r>
  <r>
    <x v="69"/>
    <x v="34"/>
    <x v="69"/>
    <x v="11"/>
    <x v="0"/>
    <x v="42"/>
    <n v="17500"/>
  </r>
  <r>
    <x v="70"/>
    <x v="34"/>
    <x v="70"/>
    <x v="0"/>
    <x v="0"/>
    <x v="60"/>
    <n v="22500"/>
  </r>
  <r>
    <x v="71"/>
    <x v="35"/>
    <x v="71"/>
    <x v="10"/>
    <x v="0"/>
    <x v="61"/>
    <n v="1440"/>
  </r>
  <r>
    <x v="72"/>
    <x v="35"/>
    <x v="72"/>
    <x v="4"/>
    <x v="1"/>
    <x v="62"/>
    <n v="1550"/>
  </r>
  <r>
    <x v="73"/>
    <x v="36"/>
    <x v="73"/>
    <x v="2"/>
    <x v="0"/>
    <x v="63"/>
    <n v="5100"/>
  </r>
  <r>
    <x v="74"/>
    <x v="36"/>
    <x v="74"/>
    <x v="3"/>
    <x v="0"/>
    <x v="64"/>
    <n v="1120"/>
  </r>
  <r>
    <x v="75"/>
    <x v="37"/>
    <x v="75"/>
    <x v="5"/>
    <x v="1"/>
    <x v="40"/>
    <n v="900"/>
  </r>
  <r>
    <x v="76"/>
    <x v="37"/>
    <x v="76"/>
    <x v="8"/>
    <x v="0"/>
    <x v="65"/>
    <n v="540"/>
  </r>
  <r>
    <x v="77"/>
    <x v="38"/>
    <x v="77"/>
    <x v="13"/>
    <x v="2"/>
    <x v="66"/>
    <n v="54000"/>
  </r>
  <r>
    <x v="78"/>
    <x v="38"/>
    <x v="78"/>
    <x v="1"/>
    <x v="0"/>
    <x v="67"/>
    <n v="1000"/>
  </r>
  <r>
    <x v="79"/>
    <x v="39"/>
    <x v="79"/>
    <x v="12"/>
    <x v="4"/>
    <x v="68"/>
    <n v="16200"/>
  </r>
  <r>
    <x v="80"/>
    <x v="39"/>
    <x v="80"/>
    <x v="0"/>
    <x v="0"/>
    <x v="69"/>
    <n v="13200"/>
  </r>
  <r>
    <x v="81"/>
    <x v="40"/>
    <x v="81"/>
    <x v="6"/>
    <x v="0"/>
    <x v="29"/>
    <n v="1100"/>
  </r>
  <r>
    <x v="82"/>
    <x v="40"/>
    <x v="79"/>
    <x v="11"/>
    <x v="0"/>
    <x v="70"/>
    <n v="1700"/>
  </r>
  <r>
    <x v="83"/>
    <x v="41"/>
    <x v="80"/>
    <x v="3"/>
    <x v="1"/>
    <x v="58"/>
    <n v="14000"/>
  </r>
  <r>
    <x v="84"/>
    <x v="41"/>
    <x v="81"/>
    <x v="4"/>
    <x v="0"/>
    <x v="59"/>
    <n v="1150"/>
  </r>
  <r>
    <x v="85"/>
    <x v="42"/>
    <x v="82"/>
    <x v="5"/>
    <x v="2"/>
    <x v="42"/>
    <n v="17500"/>
  </r>
  <r>
    <x v="86"/>
    <x v="42"/>
    <x v="83"/>
    <x v="0"/>
    <x v="0"/>
    <x v="71"/>
    <n v="1440"/>
  </r>
  <r>
    <x v="87"/>
    <x v="43"/>
    <x v="84"/>
    <x v="10"/>
    <x v="0"/>
    <x v="72"/>
    <n v="1550"/>
  </r>
  <r>
    <x v="88"/>
    <x v="43"/>
    <x v="85"/>
    <x v="12"/>
    <x v="1"/>
    <x v="73"/>
    <n v="5100"/>
  </r>
  <r>
    <x v="89"/>
    <x v="44"/>
    <x v="86"/>
    <x v="8"/>
    <x v="0"/>
    <x v="74"/>
    <n v="1120"/>
  </r>
  <r>
    <x v="90"/>
    <x v="44"/>
    <x v="87"/>
    <x v="6"/>
    <x v="0"/>
    <x v="75"/>
    <n v="900"/>
  </r>
  <r>
    <x v="91"/>
    <x v="45"/>
    <x v="88"/>
    <x v="2"/>
    <x v="0"/>
    <x v="76"/>
    <n v="540"/>
  </r>
  <r>
    <x v="92"/>
    <x v="45"/>
    <x v="89"/>
    <x v="0"/>
    <x v="0"/>
    <x v="66"/>
    <n v="54000"/>
  </r>
  <r>
    <x v="93"/>
    <x v="46"/>
    <x v="90"/>
    <x v="13"/>
    <x v="1"/>
    <x v="67"/>
    <n v="1000"/>
  </r>
  <r>
    <x v="94"/>
    <x v="46"/>
    <x v="91"/>
    <x v="4"/>
    <x v="2"/>
    <x v="68"/>
    <n v="16200"/>
  </r>
  <r>
    <x v="95"/>
    <x v="47"/>
    <x v="92"/>
    <x v="11"/>
    <x v="1"/>
    <x v="69"/>
    <n v="13200"/>
  </r>
  <r>
    <x v="96"/>
    <x v="47"/>
    <x v="93"/>
    <x v="3"/>
    <x v="0"/>
    <x v="29"/>
    <n v="1100"/>
  </r>
  <r>
    <x v="97"/>
    <x v="48"/>
    <x v="94"/>
    <x v="5"/>
    <x v="0"/>
    <x v="30"/>
    <n v="9600"/>
  </r>
  <r>
    <x v="98"/>
    <x v="48"/>
    <x v="95"/>
    <x v="12"/>
    <x v="3"/>
    <x v="77"/>
    <n v="820"/>
  </r>
  <r>
    <x v="99"/>
    <x v="49"/>
    <x v="96"/>
    <x v="0"/>
    <x v="0"/>
    <x v="78"/>
    <n v="17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28289C-6255-45B9-9488-E515F4D39A0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ales Id">
  <location ref="A5:B7" firstHeaderRow="1" firstDataRow="1" firstDataCol="1"/>
  <pivotFields count="9">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98">
        <item h="1" x="48"/>
        <item h="1" x="67"/>
        <item h="1" x="60"/>
        <item h="1" x="20"/>
        <item h="1" x="2"/>
        <item h="1" x="1"/>
        <item h="1" x="31"/>
        <item h="1" x="55"/>
        <item h="1" x="28"/>
        <item h="1" x="80"/>
        <item h="1" x="70"/>
        <item h="1" x="12"/>
        <item h="1" x="86"/>
        <item h="1" x="64"/>
        <item h="1" x="40"/>
        <item h="1" x="77"/>
        <item h="1" x="85"/>
        <item h="1" x="8"/>
        <item h="1" x="75"/>
        <item x="35"/>
        <item h="1" x="65"/>
        <item h="1" x="45"/>
        <item h="1" x="14"/>
        <item h="1" x="58"/>
        <item h="1" x="42"/>
        <item h="1" x="37"/>
        <item h="1" x="21"/>
        <item h="1" x="93"/>
        <item h="1" x="62"/>
        <item h="1" x="41"/>
        <item h="1" x="26"/>
        <item h="1" x="96"/>
        <item h="1" x="5"/>
        <item h="1" x="19"/>
        <item h="1" x="79"/>
        <item h="1" x="44"/>
        <item h="1" x="24"/>
        <item h="1" x="92"/>
        <item h="1" x="6"/>
        <item h="1" x="17"/>
        <item h="1" x="76"/>
        <item h="1" x="43"/>
        <item h="1" x="50"/>
        <item h="1" x="57"/>
        <item h="1" x="11"/>
        <item h="1" x="34"/>
        <item h="1" x="73"/>
        <item h="1" x="69"/>
        <item h="1" x="63"/>
        <item h="1" x="9"/>
        <item h="1" x="71"/>
        <item h="1" x="29"/>
        <item h="1" x="53"/>
        <item h="1" x="87"/>
        <item h="1" x="82"/>
        <item h="1" x="0"/>
        <item h="1" x="38"/>
        <item h="1" x="10"/>
        <item h="1" x="78"/>
        <item h="1" x="4"/>
        <item h="1" x="54"/>
        <item h="1" x="25"/>
        <item h="1" x="51"/>
        <item h="1" x="91"/>
        <item h="1" x="81"/>
        <item h="1" x="47"/>
        <item h="1" x="68"/>
        <item h="1" x="84"/>
        <item h="1" x="72"/>
        <item h="1" x="36"/>
        <item h="1" x="16"/>
        <item h="1" x="32"/>
        <item h="1" x="52"/>
        <item h="1" x="66"/>
        <item h="1" x="30"/>
        <item h="1" x="95"/>
        <item h="1" x="15"/>
        <item h="1" x="13"/>
        <item h="1" x="61"/>
        <item h="1" x="49"/>
        <item h="1" x="74"/>
        <item h="1" x="59"/>
        <item h="1" x="23"/>
        <item h="1" x="39"/>
        <item h="1" x="94"/>
        <item h="1" x="83"/>
        <item h="1" x="90"/>
        <item h="1" x="3"/>
        <item h="1" x="33"/>
        <item h="1" x="18"/>
        <item h="1" x="27"/>
        <item h="1" x="88"/>
        <item h="1" x="56"/>
        <item h="1" x="7"/>
        <item h="1" x="46"/>
        <item h="1" x="22"/>
        <item h="1" x="89"/>
        <item t="default"/>
      </items>
    </pivotField>
    <pivotField showAll="0">
      <items count="15">
        <item h="1" x="8"/>
        <item h="1" x="11"/>
        <item h="1" x="2"/>
        <item x="4"/>
        <item h="1" x="1"/>
        <item h="1" x="0"/>
        <item h="1" x="9"/>
        <item h="1" x="13"/>
        <item h="1" x="6"/>
        <item h="1" x="5"/>
        <item h="1" x="3"/>
        <item h="1" x="10"/>
        <item h="1" x="7"/>
        <item h="1" x="12"/>
        <item t="default"/>
      </items>
    </pivotField>
    <pivotField showAll="0"/>
    <pivotField showAll="0">
      <items count="80">
        <item h="1" x="9"/>
        <item h="1" x="76"/>
        <item h="1" x="4"/>
        <item h="1" x="15"/>
        <item h="1" x="3"/>
        <item h="1" x="71"/>
        <item h="1" x="23"/>
        <item h="1" x="14"/>
        <item h="1" x="75"/>
        <item h="1" x="21"/>
        <item h="1" x="29"/>
        <item h="1" x="12"/>
        <item h="1" x="72"/>
        <item h="1" x="41"/>
        <item h="1" x="33"/>
        <item h="1" x="54"/>
        <item h="1" x="8"/>
        <item h="1" x="50"/>
        <item h="1" x="24"/>
        <item h="1" x="40"/>
        <item h="1" x="35"/>
        <item h="1" x="74"/>
        <item h="1" x="49"/>
        <item h="1" x="64"/>
        <item h="1" x="37"/>
        <item h="1" x="61"/>
        <item h="1" x="17"/>
        <item h="1" x="57"/>
        <item h="1" x="53"/>
        <item h="1" x="65"/>
        <item h="1" x="31"/>
        <item h="1" x="51"/>
        <item h="1" x="25"/>
        <item h="1" x="44"/>
        <item h="1" x="27"/>
        <item h="1" x="39"/>
        <item h="1" x="7"/>
        <item h="1" x="77"/>
        <item h="1" x="2"/>
        <item x="30"/>
        <item h="1" x="13"/>
        <item h="1" x="73"/>
        <item h="1" x="18"/>
        <item h="1" x="67"/>
        <item h="1" x="20"/>
        <item h="1" x="59"/>
        <item h="1" x="62"/>
        <item h="1" x="45"/>
        <item h="1" x="5"/>
        <item h="1" x="36"/>
        <item h="1" x="32"/>
        <item h="1" x="69"/>
        <item h="1" x="52"/>
        <item h="1" x="58"/>
        <item h="1" x="46"/>
        <item h="1" x="0"/>
        <item h="1" x="63"/>
        <item h="1" x="55"/>
        <item h="1" x="38"/>
        <item h="1" x="56"/>
        <item h="1" x="16"/>
        <item h="1" x="68"/>
        <item h="1" x="34"/>
        <item h="1" x="47"/>
        <item h="1" x="48"/>
        <item h="1" x="26"/>
        <item h="1" x="42"/>
        <item h="1" x="78"/>
        <item h="1" x="6"/>
        <item h="1" x="11"/>
        <item h="1" x="43"/>
        <item h="1" x="22"/>
        <item h="1" x="60"/>
        <item h="1" x="70"/>
        <item h="1" x="19"/>
        <item h="1" x="28"/>
        <item h="1" x="1"/>
        <item h="1" x="66"/>
        <item h="1" x="10"/>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2">
    <i>
      <x v="35"/>
    </i>
    <i t="grand">
      <x/>
    </i>
  </rowItems>
  <colItems count="1">
    <i/>
  </colItems>
  <dataFields count="1">
    <dataField name="Sum of Total_Amount" fld="6"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CC5B50-02D3-4A00-80BD-7911473843E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Name">
  <location ref="M5:N7" firstHeaderRow="1" firstDataRow="1" firstDataCol="1"/>
  <pivotFields count="9">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98">
        <item h="1" x="48"/>
        <item h="1" x="67"/>
        <item h="1" x="60"/>
        <item h="1" x="20"/>
        <item h="1" x="2"/>
        <item h="1" x="1"/>
        <item h="1" x="31"/>
        <item h="1" x="55"/>
        <item h="1" x="28"/>
        <item h="1" x="80"/>
        <item h="1" x="70"/>
        <item h="1" x="12"/>
        <item h="1" x="86"/>
        <item h="1" x="64"/>
        <item h="1" x="40"/>
        <item h="1" x="77"/>
        <item h="1" x="85"/>
        <item h="1" x="8"/>
        <item h="1" x="75"/>
        <item x="35"/>
        <item h="1" x="65"/>
        <item h="1" x="45"/>
        <item h="1" x="14"/>
        <item h="1" x="58"/>
        <item h="1" x="42"/>
        <item h="1" x="37"/>
        <item h="1" x="21"/>
        <item h="1" x="93"/>
        <item h="1" x="62"/>
        <item h="1" x="41"/>
        <item h="1" x="26"/>
        <item h="1" x="96"/>
        <item h="1" x="5"/>
        <item h="1" x="19"/>
        <item h="1" x="79"/>
        <item h="1" x="44"/>
        <item h="1" x="24"/>
        <item h="1" x="92"/>
        <item h="1" x="6"/>
        <item h="1" x="17"/>
        <item h="1" x="76"/>
        <item h="1" x="43"/>
        <item h="1" x="50"/>
        <item h="1" x="57"/>
        <item h="1" x="11"/>
        <item h="1" x="34"/>
        <item h="1" x="73"/>
        <item h="1" x="69"/>
        <item h="1" x="63"/>
        <item h="1" x="9"/>
        <item h="1" x="71"/>
        <item h="1" x="29"/>
        <item h="1" x="53"/>
        <item h="1" x="87"/>
        <item h="1" x="82"/>
        <item h="1" x="0"/>
        <item h="1" x="38"/>
        <item h="1" x="10"/>
        <item h="1" x="78"/>
        <item h="1" x="4"/>
        <item h="1" x="54"/>
        <item h="1" x="25"/>
        <item h="1" x="51"/>
        <item h="1" x="91"/>
        <item h="1" x="81"/>
        <item h="1" x="47"/>
        <item h="1" x="68"/>
        <item h="1" x="84"/>
        <item h="1" x="72"/>
        <item h="1" x="36"/>
        <item h="1" x="16"/>
        <item h="1" x="32"/>
        <item h="1" x="52"/>
        <item h="1" x="66"/>
        <item h="1" x="30"/>
        <item h="1" x="95"/>
        <item h="1" x="15"/>
        <item h="1" x="13"/>
        <item h="1" x="61"/>
        <item h="1" x="49"/>
        <item h="1" x="74"/>
        <item h="1" x="59"/>
        <item h="1" x="23"/>
        <item h="1" x="39"/>
        <item h="1" x="94"/>
        <item h="1" x="83"/>
        <item h="1" x="90"/>
        <item h="1" x="3"/>
        <item h="1" x="33"/>
        <item h="1" x="18"/>
        <item h="1" x="27"/>
        <item h="1" x="88"/>
        <item h="1" x="56"/>
        <item h="1" x="7"/>
        <item h="1" x="46"/>
        <item h="1" x="22"/>
        <item h="1" x="89"/>
        <item t="default"/>
      </items>
    </pivotField>
    <pivotField axis="axisRow" showAll="0">
      <items count="15">
        <item h="1" x="8"/>
        <item h="1" x="11"/>
        <item h="1" x="2"/>
        <item x="4"/>
        <item h="1" x="1"/>
        <item h="1" x="0"/>
        <item h="1" x="9"/>
        <item h="1" x="13"/>
        <item h="1" x="6"/>
        <item h="1" x="5"/>
        <item h="1" x="3"/>
        <item h="1" x="10"/>
        <item h="1" x="7"/>
        <item h="1" x="12"/>
        <item t="default"/>
      </items>
    </pivotField>
    <pivotField dataField="1" showAll="0">
      <items count="6">
        <item x="0"/>
        <item x="1"/>
        <item x="2"/>
        <item x="3"/>
        <item x="4"/>
        <item t="default"/>
      </items>
    </pivotField>
    <pivotField showAll="0">
      <items count="80">
        <item h="1" x="9"/>
        <item h="1" x="76"/>
        <item h="1" x="4"/>
        <item h="1" x="15"/>
        <item h="1" x="3"/>
        <item h="1" x="71"/>
        <item h="1" x="23"/>
        <item h="1" x="14"/>
        <item h="1" x="75"/>
        <item h="1" x="21"/>
        <item h="1" x="29"/>
        <item h="1" x="12"/>
        <item h="1" x="72"/>
        <item h="1" x="41"/>
        <item h="1" x="33"/>
        <item h="1" x="54"/>
        <item h="1" x="8"/>
        <item h="1" x="50"/>
        <item h="1" x="24"/>
        <item h="1" x="40"/>
        <item h="1" x="35"/>
        <item h="1" x="74"/>
        <item h="1" x="49"/>
        <item h="1" x="64"/>
        <item h="1" x="37"/>
        <item h="1" x="61"/>
        <item h="1" x="17"/>
        <item h="1" x="57"/>
        <item h="1" x="53"/>
        <item h="1" x="65"/>
        <item h="1" x="31"/>
        <item h="1" x="51"/>
        <item h="1" x="25"/>
        <item h="1" x="44"/>
        <item h="1" x="27"/>
        <item h="1" x="39"/>
        <item h="1" x="7"/>
        <item h="1" x="77"/>
        <item h="1" x="2"/>
        <item x="30"/>
        <item h="1" x="13"/>
        <item h="1" x="73"/>
        <item h="1" x="18"/>
        <item h="1" x="67"/>
        <item h="1" x="20"/>
        <item h="1" x="59"/>
        <item h="1" x="62"/>
        <item h="1" x="45"/>
        <item h="1" x="5"/>
        <item h="1" x="36"/>
        <item h="1" x="32"/>
        <item h="1" x="69"/>
        <item h="1" x="52"/>
        <item h="1" x="58"/>
        <item h="1" x="46"/>
        <item h="1" x="0"/>
        <item h="1" x="63"/>
        <item h="1" x="55"/>
        <item h="1" x="38"/>
        <item h="1" x="56"/>
        <item h="1" x="16"/>
        <item h="1" x="68"/>
        <item h="1" x="34"/>
        <item h="1" x="47"/>
        <item h="1" x="48"/>
        <item h="1" x="26"/>
        <item h="1" x="42"/>
        <item h="1" x="78"/>
        <item h="1" x="6"/>
        <item h="1" x="11"/>
        <item h="1" x="43"/>
        <item h="1" x="22"/>
        <item h="1" x="60"/>
        <item h="1" x="70"/>
        <item h="1" x="19"/>
        <item h="1" x="28"/>
        <item h="1" x="1"/>
        <item h="1" x="66"/>
        <item h="1" x="1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v="3"/>
    </i>
    <i t="grand">
      <x/>
    </i>
  </rowItems>
  <colItems count="1">
    <i/>
  </colItems>
  <dataFields count="1">
    <dataField name="Sum of Quantity"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B7365B-350E-46F5-91F5-173F2601C15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roduct Name">
  <location ref="P5:Q7" firstHeaderRow="1" firstDataRow="1" firstDataCol="1"/>
  <pivotFields count="9">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98">
        <item h="1" x="48"/>
        <item h="1" x="67"/>
        <item h="1" x="60"/>
        <item h="1" x="20"/>
        <item h="1" x="2"/>
        <item h="1" x="1"/>
        <item h="1" x="31"/>
        <item h="1" x="55"/>
        <item h="1" x="28"/>
        <item h="1" x="80"/>
        <item h="1" x="70"/>
        <item h="1" x="12"/>
        <item h="1" x="86"/>
        <item h="1" x="64"/>
        <item h="1" x="40"/>
        <item h="1" x="77"/>
        <item h="1" x="85"/>
        <item h="1" x="8"/>
        <item h="1" x="75"/>
        <item x="35"/>
        <item h="1" x="65"/>
        <item h="1" x="45"/>
        <item h="1" x="14"/>
        <item h="1" x="58"/>
        <item h="1" x="42"/>
        <item h="1" x="37"/>
        <item h="1" x="21"/>
        <item h="1" x="93"/>
        <item h="1" x="62"/>
        <item h="1" x="41"/>
        <item h="1" x="26"/>
        <item h="1" x="96"/>
        <item h="1" x="5"/>
        <item h="1" x="19"/>
        <item h="1" x="79"/>
        <item h="1" x="44"/>
        <item h="1" x="24"/>
        <item h="1" x="92"/>
        <item h="1" x="6"/>
        <item h="1" x="17"/>
        <item h="1" x="76"/>
        <item h="1" x="43"/>
        <item h="1" x="50"/>
        <item h="1" x="57"/>
        <item h="1" x="11"/>
        <item h="1" x="34"/>
        <item h="1" x="73"/>
        <item h="1" x="69"/>
        <item h="1" x="63"/>
        <item h="1" x="9"/>
        <item h="1" x="71"/>
        <item h="1" x="29"/>
        <item h="1" x="53"/>
        <item h="1" x="87"/>
        <item h="1" x="82"/>
        <item h="1" x="0"/>
        <item h="1" x="38"/>
        <item h="1" x="10"/>
        <item h="1" x="78"/>
        <item h="1" x="4"/>
        <item h="1" x="54"/>
        <item h="1" x="25"/>
        <item h="1" x="51"/>
        <item h="1" x="91"/>
        <item h="1" x="81"/>
        <item h="1" x="47"/>
        <item h="1" x="68"/>
        <item h="1" x="84"/>
        <item h="1" x="72"/>
        <item h="1" x="36"/>
        <item h="1" x="16"/>
        <item h="1" x="32"/>
        <item h="1" x="52"/>
        <item h="1" x="66"/>
        <item h="1" x="30"/>
        <item h="1" x="95"/>
        <item h="1" x="15"/>
        <item h="1" x="13"/>
        <item h="1" x="61"/>
        <item h="1" x="49"/>
        <item h="1" x="74"/>
        <item h="1" x="59"/>
        <item h="1" x="23"/>
        <item h="1" x="39"/>
        <item h="1" x="94"/>
        <item h="1" x="83"/>
        <item h="1" x="90"/>
        <item h="1" x="3"/>
        <item h="1" x="33"/>
        <item h="1" x="18"/>
        <item h="1" x="27"/>
        <item h="1" x="88"/>
        <item h="1" x="56"/>
        <item h="1" x="7"/>
        <item h="1" x="46"/>
        <item h="1" x="22"/>
        <item h="1" x="89"/>
        <item t="default"/>
      </items>
    </pivotField>
    <pivotField axis="axisRow" showAll="0">
      <items count="15">
        <item h="1" x="8"/>
        <item h="1" x="11"/>
        <item h="1" x="2"/>
        <item x="4"/>
        <item h="1" x="1"/>
        <item h="1" x="0"/>
        <item h="1" x="9"/>
        <item h="1" x="13"/>
        <item h="1" x="6"/>
        <item h="1" x="5"/>
        <item h="1" x="3"/>
        <item h="1" x="10"/>
        <item h="1" x="7"/>
        <item h="1" x="12"/>
        <item t="default"/>
      </items>
    </pivotField>
    <pivotField showAll="0">
      <items count="6">
        <item x="0"/>
        <item x="1"/>
        <item x="2"/>
        <item x="3"/>
        <item x="4"/>
        <item t="default"/>
      </items>
    </pivotField>
    <pivotField dataField="1" showAll="0">
      <items count="80">
        <item h="1" x="9"/>
        <item h="1" x="76"/>
        <item h="1" x="4"/>
        <item h="1" x="15"/>
        <item h="1" x="3"/>
        <item h="1" x="71"/>
        <item h="1" x="23"/>
        <item h="1" x="14"/>
        <item h="1" x="75"/>
        <item h="1" x="21"/>
        <item h="1" x="29"/>
        <item h="1" x="12"/>
        <item h="1" x="72"/>
        <item h="1" x="41"/>
        <item h="1" x="33"/>
        <item h="1" x="54"/>
        <item h="1" x="8"/>
        <item h="1" x="50"/>
        <item h="1" x="24"/>
        <item h="1" x="40"/>
        <item h="1" x="35"/>
        <item h="1" x="74"/>
        <item h="1" x="49"/>
        <item h="1" x="64"/>
        <item h="1" x="37"/>
        <item h="1" x="61"/>
        <item h="1" x="17"/>
        <item h="1" x="57"/>
        <item h="1" x="53"/>
        <item h="1" x="65"/>
        <item h="1" x="31"/>
        <item h="1" x="51"/>
        <item h="1" x="25"/>
        <item h="1" x="44"/>
        <item h="1" x="27"/>
        <item h="1" x="39"/>
        <item h="1" x="7"/>
        <item h="1" x="77"/>
        <item h="1" x="2"/>
        <item x="30"/>
        <item h="1" x="13"/>
        <item h="1" x="73"/>
        <item h="1" x="18"/>
        <item h="1" x="67"/>
        <item h="1" x="20"/>
        <item h="1" x="59"/>
        <item h="1" x="62"/>
        <item h="1" x="45"/>
        <item h="1" x="5"/>
        <item h="1" x="36"/>
        <item h="1" x="32"/>
        <item h="1" x="69"/>
        <item h="1" x="52"/>
        <item h="1" x="58"/>
        <item h="1" x="46"/>
        <item h="1" x="0"/>
        <item h="1" x="63"/>
        <item h="1" x="55"/>
        <item h="1" x="38"/>
        <item h="1" x="56"/>
        <item h="1" x="16"/>
        <item h="1" x="68"/>
        <item h="1" x="34"/>
        <item h="1" x="47"/>
        <item h="1" x="48"/>
        <item h="1" x="26"/>
        <item h="1" x="42"/>
        <item h="1" x="78"/>
        <item h="1" x="6"/>
        <item h="1" x="11"/>
        <item h="1" x="43"/>
        <item h="1" x="22"/>
        <item h="1" x="60"/>
        <item h="1" x="70"/>
        <item h="1" x="19"/>
        <item h="1" x="28"/>
        <item h="1" x="1"/>
        <item h="1" x="66"/>
        <item h="1" x="1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v="3"/>
    </i>
    <i t="grand">
      <x/>
    </i>
  </rowItems>
  <colItems count="1">
    <i/>
  </colItems>
  <dataFields count="1">
    <dataField name="Sum of Price" fld="5"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5543A8-DF64-4412-B9A0-EB7E7B2F5F4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roduct Name">
  <location ref="J5:K7" firstHeaderRow="1" firstDataRow="1" firstDataCol="1"/>
  <pivotFields count="9">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98">
        <item h="1" x="48"/>
        <item h="1" x="67"/>
        <item h="1" x="60"/>
        <item h="1" x="20"/>
        <item h="1" x="2"/>
        <item h="1" x="1"/>
        <item h="1" x="31"/>
        <item h="1" x="55"/>
        <item h="1" x="28"/>
        <item h="1" x="80"/>
        <item h="1" x="70"/>
        <item h="1" x="12"/>
        <item h="1" x="86"/>
        <item h="1" x="64"/>
        <item h="1" x="40"/>
        <item h="1" x="77"/>
        <item h="1" x="85"/>
        <item h="1" x="8"/>
        <item h="1" x="75"/>
        <item x="35"/>
        <item h="1" x="65"/>
        <item h="1" x="45"/>
        <item h="1" x="14"/>
        <item h="1" x="58"/>
        <item h="1" x="42"/>
        <item h="1" x="37"/>
        <item h="1" x="21"/>
        <item h="1" x="93"/>
        <item h="1" x="62"/>
        <item h="1" x="41"/>
        <item h="1" x="26"/>
        <item h="1" x="96"/>
        <item h="1" x="5"/>
        <item h="1" x="19"/>
        <item h="1" x="79"/>
        <item h="1" x="44"/>
        <item h="1" x="24"/>
        <item h="1" x="92"/>
        <item h="1" x="6"/>
        <item h="1" x="17"/>
        <item h="1" x="76"/>
        <item h="1" x="43"/>
        <item h="1" x="50"/>
        <item h="1" x="57"/>
        <item h="1" x="11"/>
        <item h="1" x="34"/>
        <item h="1" x="73"/>
        <item h="1" x="69"/>
        <item h="1" x="63"/>
        <item h="1" x="9"/>
        <item h="1" x="71"/>
        <item h="1" x="29"/>
        <item h="1" x="53"/>
        <item h="1" x="87"/>
        <item h="1" x="82"/>
        <item h="1" x="0"/>
        <item h="1" x="38"/>
        <item h="1" x="10"/>
        <item h="1" x="78"/>
        <item h="1" x="4"/>
        <item h="1" x="54"/>
        <item h="1" x="25"/>
        <item h="1" x="51"/>
        <item h="1" x="91"/>
        <item h="1" x="81"/>
        <item h="1" x="47"/>
        <item h="1" x="68"/>
        <item h="1" x="84"/>
        <item h="1" x="72"/>
        <item h="1" x="36"/>
        <item h="1" x="16"/>
        <item h="1" x="32"/>
        <item h="1" x="52"/>
        <item h="1" x="66"/>
        <item h="1" x="30"/>
        <item h="1" x="95"/>
        <item h="1" x="15"/>
        <item h="1" x="13"/>
        <item h="1" x="61"/>
        <item h="1" x="49"/>
        <item h="1" x="74"/>
        <item h="1" x="59"/>
        <item h="1" x="23"/>
        <item h="1" x="39"/>
        <item h="1" x="94"/>
        <item h="1" x="83"/>
        <item h="1" x="90"/>
        <item h="1" x="3"/>
        <item h="1" x="33"/>
        <item h="1" x="18"/>
        <item h="1" x="27"/>
        <item h="1" x="88"/>
        <item h="1" x="56"/>
        <item h="1" x="7"/>
        <item h="1" x="46"/>
        <item h="1" x="22"/>
        <item h="1" x="89"/>
        <item t="default"/>
      </items>
    </pivotField>
    <pivotField axis="axisRow" showAll="0">
      <items count="15">
        <item h="1" x="8"/>
        <item h="1" x="11"/>
        <item h="1" x="2"/>
        <item x="4"/>
        <item h="1" x="1"/>
        <item h="1" x="0"/>
        <item h="1" x="9"/>
        <item h="1" x="13"/>
        <item h="1" x="6"/>
        <item h="1" x="5"/>
        <item h="1" x="3"/>
        <item h="1" x="10"/>
        <item h="1" x="7"/>
        <item h="1" x="12"/>
        <item t="default"/>
      </items>
    </pivotField>
    <pivotField showAll="0"/>
    <pivotField showAll="0">
      <items count="80">
        <item h="1" x="9"/>
        <item h="1" x="76"/>
        <item h="1" x="4"/>
        <item h="1" x="15"/>
        <item h="1" x="3"/>
        <item h="1" x="71"/>
        <item h="1" x="23"/>
        <item h="1" x="14"/>
        <item h="1" x="75"/>
        <item h="1" x="21"/>
        <item h="1" x="29"/>
        <item h="1" x="12"/>
        <item h="1" x="72"/>
        <item h="1" x="41"/>
        <item h="1" x="33"/>
        <item h="1" x="54"/>
        <item h="1" x="8"/>
        <item h="1" x="50"/>
        <item h="1" x="24"/>
        <item h="1" x="40"/>
        <item h="1" x="35"/>
        <item h="1" x="74"/>
        <item h="1" x="49"/>
        <item h="1" x="64"/>
        <item h="1" x="37"/>
        <item h="1" x="61"/>
        <item h="1" x="17"/>
        <item h="1" x="57"/>
        <item h="1" x="53"/>
        <item h="1" x="65"/>
        <item h="1" x="31"/>
        <item h="1" x="51"/>
        <item h="1" x="25"/>
        <item h="1" x="44"/>
        <item h="1" x="27"/>
        <item h="1" x="39"/>
        <item h="1" x="7"/>
        <item h="1" x="77"/>
        <item h="1" x="2"/>
        <item x="30"/>
        <item h="1" x="13"/>
        <item h="1" x="73"/>
        <item h="1" x="18"/>
        <item h="1" x="67"/>
        <item h="1" x="20"/>
        <item h="1" x="59"/>
        <item h="1" x="62"/>
        <item h="1" x="45"/>
        <item h="1" x="5"/>
        <item h="1" x="36"/>
        <item h="1" x="32"/>
        <item h="1" x="69"/>
        <item h="1" x="52"/>
        <item h="1" x="58"/>
        <item h="1" x="46"/>
        <item h="1" x="0"/>
        <item h="1" x="63"/>
        <item h="1" x="55"/>
        <item h="1" x="38"/>
        <item h="1" x="56"/>
        <item h="1" x="16"/>
        <item h="1" x="68"/>
        <item h="1" x="34"/>
        <item h="1" x="47"/>
        <item h="1" x="48"/>
        <item h="1" x="26"/>
        <item h="1" x="42"/>
        <item h="1" x="78"/>
        <item h="1" x="6"/>
        <item h="1" x="11"/>
        <item h="1" x="43"/>
        <item h="1" x="22"/>
        <item h="1" x="60"/>
        <item h="1" x="70"/>
        <item h="1" x="19"/>
        <item h="1" x="28"/>
        <item h="1" x="1"/>
        <item h="1" x="66"/>
        <item h="1" x="1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v="3"/>
    </i>
    <i t="grand">
      <x/>
    </i>
  </rowItems>
  <colItems count="1">
    <i/>
  </colItems>
  <dataFields count="1">
    <dataField name="Sum of Total_Amount" fld="6" baseField="0" baseItem="0"/>
  </dataFields>
  <chartFormats count="15">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3" count="1" selected="0">
            <x v="0"/>
          </reference>
        </references>
      </pivotArea>
    </chartFormat>
    <chartFormat chart="18" format="18">
      <pivotArea type="data" outline="0" fieldPosition="0">
        <references count="2">
          <reference field="4294967294" count="1" selected="0">
            <x v="0"/>
          </reference>
          <reference field="3" count="1" selected="0">
            <x v="1"/>
          </reference>
        </references>
      </pivotArea>
    </chartFormat>
    <chartFormat chart="18" format="19">
      <pivotArea type="data" outline="0" fieldPosition="0">
        <references count="2">
          <reference field="4294967294" count="1" selected="0">
            <x v="0"/>
          </reference>
          <reference field="3" count="1" selected="0">
            <x v="2"/>
          </reference>
        </references>
      </pivotArea>
    </chartFormat>
    <chartFormat chart="18" format="20">
      <pivotArea type="data" outline="0" fieldPosition="0">
        <references count="2">
          <reference field="4294967294" count="1" selected="0">
            <x v="0"/>
          </reference>
          <reference field="3" count="1" selected="0">
            <x v="3"/>
          </reference>
        </references>
      </pivotArea>
    </chartFormat>
    <chartFormat chart="18" format="21">
      <pivotArea type="data" outline="0" fieldPosition="0">
        <references count="2">
          <reference field="4294967294" count="1" selected="0">
            <x v="0"/>
          </reference>
          <reference field="3" count="1" selected="0">
            <x v="4"/>
          </reference>
        </references>
      </pivotArea>
    </chartFormat>
    <chartFormat chart="18" format="22">
      <pivotArea type="data" outline="0" fieldPosition="0">
        <references count="2">
          <reference field="4294967294" count="1" selected="0">
            <x v="0"/>
          </reference>
          <reference field="3" count="1" selected="0">
            <x v="5"/>
          </reference>
        </references>
      </pivotArea>
    </chartFormat>
    <chartFormat chart="18" format="23">
      <pivotArea type="data" outline="0" fieldPosition="0">
        <references count="2">
          <reference field="4294967294" count="1" selected="0">
            <x v="0"/>
          </reference>
          <reference field="3" count="1" selected="0">
            <x v="6"/>
          </reference>
        </references>
      </pivotArea>
    </chartFormat>
    <chartFormat chart="18" format="24">
      <pivotArea type="data" outline="0" fieldPosition="0">
        <references count="2">
          <reference field="4294967294" count="1" selected="0">
            <x v="0"/>
          </reference>
          <reference field="3" count="1" selected="0">
            <x v="7"/>
          </reference>
        </references>
      </pivotArea>
    </chartFormat>
    <chartFormat chart="18" format="25">
      <pivotArea type="data" outline="0" fieldPosition="0">
        <references count="2">
          <reference field="4294967294" count="1" selected="0">
            <x v="0"/>
          </reference>
          <reference field="3" count="1" selected="0">
            <x v="8"/>
          </reference>
        </references>
      </pivotArea>
    </chartFormat>
    <chartFormat chart="18" format="26">
      <pivotArea type="data" outline="0" fieldPosition="0">
        <references count="2">
          <reference field="4294967294" count="1" selected="0">
            <x v="0"/>
          </reference>
          <reference field="3" count="1" selected="0">
            <x v="9"/>
          </reference>
        </references>
      </pivotArea>
    </chartFormat>
    <chartFormat chart="18" format="27">
      <pivotArea type="data" outline="0" fieldPosition="0">
        <references count="2">
          <reference field="4294967294" count="1" selected="0">
            <x v="0"/>
          </reference>
          <reference field="3" count="1" selected="0">
            <x v="10"/>
          </reference>
        </references>
      </pivotArea>
    </chartFormat>
    <chartFormat chart="18" format="28">
      <pivotArea type="data" outline="0" fieldPosition="0">
        <references count="2">
          <reference field="4294967294" count="1" selected="0">
            <x v="0"/>
          </reference>
          <reference field="3" count="1" selected="0">
            <x v="11"/>
          </reference>
        </references>
      </pivotArea>
    </chartFormat>
    <chartFormat chart="18" format="29">
      <pivotArea type="data" outline="0" fieldPosition="0">
        <references count="2">
          <reference field="4294967294" count="1" selected="0">
            <x v="0"/>
          </reference>
          <reference field="3" count="1" selected="0">
            <x v="12"/>
          </reference>
        </references>
      </pivotArea>
    </chartFormat>
    <chartFormat chart="18" format="30">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1733F5-13C4-411B-808B-2A1E69FCABE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ate">
  <location ref="G5:H7" firstHeaderRow="1" firstDataRow="1" firstDataCol="1"/>
  <pivotFields count="9">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98">
        <item h="1" x="48"/>
        <item h="1" x="67"/>
        <item h="1" x="60"/>
        <item h="1" x="20"/>
        <item h="1" x="2"/>
        <item h="1" x="1"/>
        <item h="1" x="31"/>
        <item h="1" x="55"/>
        <item h="1" x="28"/>
        <item h="1" x="80"/>
        <item h="1" x="70"/>
        <item h="1" x="12"/>
        <item h="1" x="86"/>
        <item h="1" x="64"/>
        <item h="1" x="40"/>
        <item h="1" x="77"/>
        <item h="1" x="85"/>
        <item h="1" x="8"/>
        <item h="1" x="75"/>
        <item x="35"/>
        <item h="1" x="65"/>
        <item h="1" x="45"/>
        <item h="1" x="14"/>
        <item h="1" x="58"/>
        <item h="1" x="42"/>
        <item h="1" x="37"/>
        <item h="1" x="21"/>
        <item h="1" x="93"/>
        <item h="1" x="62"/>
        <item h="1" x="41"/>
        <item h="1" x="26"/>
        <item h="1" x="96"/>
        <item h="1" x="5"/>
        <item h="1" x="19"/>
        <item h="1" x="79"/>
        <item h="1" x="44"/>
        <item h="1" x="24"/>
        <item h="1" x="92"/>
        <item h="1" x="6"/>
        <item h="1" x="17"/>
        <item h="1" x="76"/>
        <item h="1" x="43"/>
        <item h="1" x="50"/>
        <item h="1" x="57"/>
        <item h="1" x="11"/>
        <item h="1" x="34"/>
        <item h="1" x="73"/>
        <item h="1" x="69"/>
        <item h="1" x="63"/>
        <item h="1" x="9"/>
        <item h="1" x="71"/>
        <item h="1" x="29"/>
        <item h="1" x="53"/>
        <item h="1" x="87"/>
        <item h="1" x="82"/>
        <item h="1" x="0"/>
        <item h="1" x="38"/>
        <item h="1" x="10"/>
        <item h="1" x="78"/>
        <item h="1" x="4"/>
        <item h="1" x="54"/>
        <item h="1" x="25"/>
        <item h="1" x="51"/>
        <item h="1" x="91"/>
        <item h="1" x="81"/>
        <item h="1" x="47"/>
        <item h="1" x="68"/>
        <item h="1" x="84"/>
        <item h="1" x="72"/>
        <item h="1" x="36"/>
        <item h="1" x="16"/>
        <item h="1" x="32"/>
        <item h="1" x="52"/>
        <item h="1" x="66"/>
        <item h="1" x="30"/>
        <item h="1" x="95"/>
        <item h="1" x="15"/>
        <item h="1" x="13"/>
        <item h="1" x="61"/>
        <item h="1" x="49"/>
        <item h="1" x="74"/>
        <item h="1" x="59"/>
        <item h="1" x="23"/>
        <item h="1" x="39"/>
        <item h="1" x="94"/>
        <item h="1" x="83"/>
        <item h="1" x="90"/>
        <item h="1" x="3"/>
        <item h="1" x="33"/>
        <item h="1" x="18"/>
        <item h="1" x="27"/>
        <item h="1" x="88"/>
        <item h="1" x="56"/>
        <item h="1" x="7"/>
        <item h="1" x="46"/>
        <item h="1" x="22"/>
        <item h="1" x="89"/>
        <item t="default"/>
      </items>
    </pivotField>
    <pivotField showAll="0">
      <items count="15">
        <item h="1" x="8"/>
        <item h="1" x="11"/>
        <item h="1" x="2"/>
        <item x="4"/>
        <item h="1" x="1"/>
        <item h="1" x="0"/>
        <item h="1" x="9"/>
        <item h="1" x="13"/>
        <item h="1" x="6"/>
        <item h="1" x="5"/>
        <item h="1" x="3"/>
        <item h="1" x="10"/>
        <item h="1" x="7"/>
        <item h="1" x="12"/>
        <item t="default"/>
      </items>
    </pivotField>
    <pivotField showAll="0"/>
    <pivotField showAll="0">
      <items count="80">
        <item h="1" x="9"/>
        <item h="1" x="76"/>
        <item h="1" x="4"/>
        <item h="1" x="15"/>
        <item h="1" x="3"/>
        <item h="1" x="71"/>
        <item h="1" x="23"/>
        <item h="1" x="14"/>
        <item h="1" x="75"/>
        <item h="1" x="21"/>
        <item h="1" x="29"/>
        <item h="1" x="12"/>
        <item h="1" x="72"/>
        <item h="1" x="41"/>
        <item h="1" x="33"/>
        <item h="1" x="54"/>
        <item h="1" x="8"/>
        <item h="1" x="50"/>
        <item h="1" x="24"/>
        <item h="1" x="40"/>
        <item h="1" x="35"/>
        <item h="1" x="74"/>
        <item h="1" x="49"/>
        <item h="1" x="64"/>
        <item h="1" x="37"/>
        <item h="1" x="61"/>
        <item h="1" x="17"/>
        <item h="1" x="57"/>
        <item h="1" x="53"/>
        <item h="1" x="65"/>
        <item h="1" x="31"/>
        <item h="1" x="51"/>
        <item h="1" x="25"/>
        <item h="1" x="44"/>
        <item h="1" x="27"/>
        <item h="1" x="39"/>
        <item h="1" x="7"/>
        <item h="1" x="77"/>
        <item h="1" x="2"/>
        <item x="30"/>
        <item h="1" x="13"/>
        <item h="1" x="73"/>
        <item h="1" x="18"/>
        <item h="1" x="67"/>
        <item h="1" x="20"/>
        <item h="1" x="59"/>
        <item h="1" x="62"/>
        <item h="1" x="45"/>
        <item h="1" x="5"/>
        <item h="1" x="36"/>
        <item h="1" x="32"/>
        <item h="1" x="69"/>
        <item h="1" x="52"/>
        <item h="1" x="58"/>
        <item h="1" x="46"/>
        <item h="1" x="0"/>
        <item h="1" x="63"/>
        <item h="1" x="55"/>
        <item h="1" x="38"/>
        <item h="1" x="56"/>
        <item h="1" x="16"/>
        <item h="1" x="68"/>
        <item h="1" x="34"/>
        <item h="1" x="47"/>
        <item h="1" x="48"/>
        <item h="1" x="26"/>
        <item h="1" x="42"/>
        <item h="1" x="78"/>
        <item h="1" x="6"/>
        <item h="1" x="11"/>
        <item h="1" x="43"/>
        <item h="1" x="22"/>
        <item h="1" x="60"/>
        <item h="1" x="70"/>
        <item h="1" x="19"/>
        <item h="1" x="28"/>
        <item h="1" x="1"/>
        <item h="1" x="66"/>
        <item h="1" x="1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v="17"/>
    </i>
    <i t="grand">
      <x/>
    </i>
  </rowItems>
  <colItems count="1">
    <i/>
  </colItems>
  <dataFields count="1">
    <dataField name="Sum of Total_Amount"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DBAB3E-209B-473C-8FFC-BFEB727494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ustomer Name">
  <location ref="D5:E7" firstHeaderRow="1" firstDataRow="1" firstDataCol="1"/>
  <pivotFields count="9">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98">
        <item h="1" x="48"/>
        <item h="1" x="67"/>
        <item h="1" x="60"/>
        <item h="1" x="20"/>
        <item h="1" x="2"/>
        <item h="1" x="1"/>
        <item h="1" x="31"/>
        <item h="1" x="55"/>
        <item h="1" x="28"/>
        <item h="1" x="80"/>
        <item h="1" x="70"/>
        <item h="1" x="12"/>
        <item h="1" x="86"/>
        <item h="1" x="64"/>
        <item h="1" x="40"/>
        <item h="1" x="77"/>
        <item h="1" x="85"/>
        <item h="1" x="8"/>
        <item h="1" x="75"/>
        <item x="35"/>
        <item h="1" x="65"/>
        <item h="1" x="45"/>
        <item h="1" x="14"/>
        <item h="1" x="58"/>
        <item h="1" x="42"/>
        <item h="1" x="37"/>
        <item h="1" x="21"/>
        <item h="1" x="93"/>
        <item h="1" x="62"/>
        <item h="1" x="41"/>
        <item h="1" x="26"/>
        <item h="1" x="96"/>
        <item h="1" x="5"/>
        <item h="1" x="19"/>
        <item h="1" x="79"/>
        <item h="1" x="44"/>
        <item h="1" x="24"/>
        <item h="1" x="92"/>
        <item h="1" x="6"/>
        <item h="1" x="17"/>
        <item h="1" x="76"/>
        <item h="1" x="43"/>
        <item h="1" x="50"/>
        <item h="1" x="57"/>
        <item h="1" x="11"/>
        <item h="1" x="34"/>
        <item h="1" x="73"/>
        <item h="1" x="69"/>
        <item h="1" x="63"/>
        <item h="1" x="9"/>
        <item h="1" x="71"/>
        <item h="1" x="29"/>
        <item h="1" x="53"/>
        <item h="1" x="87"/>
        <item h="1" x="82"/>
        <item h="1" x="0"/>
        <item h="1" x="38"/>
        <item h="1" x="10"/>
        <item h="1" x="78"/>
        <item h="1" x="4"/>
        <item h="1" x="54"/>
        <item h="1" x="25"/>
        <item h="1" x="51"/>
        <item h="1" x="91"/>
        <item h="1" x="81"/>
        <item h="1" x="47"/>
        <item h="1" x="68"/>
        <item h="1" x="84"/>
        <item h="1" x="72"/>
        <item h="1" x="36"/>
        <item h="1" x="16"/>
        <item h="1" x="32"/>
        <item h="1" x="52"/>
        <item h="1" x="66"/>
        <item h="1" x="30"/>
        <item h="1" x="95"/>
        <item h="1" x="15"/>
        <item h="1" x="13"/>
        <item h="1" x="61"/>
        <item h="1" x="49"/>
        <item h="1" x="74"/>
        <item h="1" x="59"/>
        <item h="1" x="23"/>
        <item h="1" x="39"/>
        <item h="1" x="94"/>
        <item h="1" x="83"/>
        <item h="1" x="90"/>
        <item h="1" x="3"/>
        <item h="1" x="33"/>
        <item h="1" x="18"/>
        <item h="1" x="27"/>
        <item h="1" x="88"/>
        <item h="1" x="56"/>
        <item h="1" x="7"/>
        <item h="1" x="46"/>
        <item h="1" x="22"/>
        <item h="1" x="89"/>
        <item t="default"/>
      </items>
    </pivotField>
    <pivotField showAll="0">
      <items count="15">
        <item h="1" x="8"/>
        <item h="1" x="11"/>
        <item h="1" x="2"/>
        <item x="4"/>
        <item h="1" x="1"/>
        <item h="1" x="0"/>
        <item h="1" x="9"/>
        <item h="1" x="13"/>
        <item h="1" x="6"/>
        <item h="1" x="5"/>
        <item h="1" x="3"/>
        <item h="1" x="10"/>
        <item h="1" x="7"/>
        <item h="1" x="12"/>
        <item t="default"/>
      </items>
    </pivotField>
    <pivotField showAll="0">
      <items count="6">
        <item x="0"/>
        <item x="1"/>
        <item x="2"/>
        <item x="3"/>
        <item x="4"/>
        <item t="default"/>
      </items>
    </pivotField>
    <pivotField showAll="0">
      <items count="80">
        <item h="1" x="9"/>
        <item h="1" x="76"/>
        <item h="1" x="4"/>
        <item h="1" x="15"/>
        <item h="1" x="3"/>
        <item h="1" x="71"/>
        <item h="1" x="23"/>
        <item h="1" x="14"/>
        <item h="1" x="75"/>
        <item h="1" x="21"/>
        <item h="1" x="29"/>
        <item h="1" x="12"/>
        <item h="1" x="72"/>
        <item h="1" x="41"/>
        <item h="1" x="33"/>
        <item h="1" x="54"/>
        <item h="1" x="8"/>
        <item h="1" x="50"/>
        <item h="1" x="24"/>
        <item h="1" x="40"/>
        <item h="1" x="35"/>
        <item h="1" x="74"/>
        <item h="1" x="49"/>
        <item h="1" x="64"/>
        <item h="1" x="37"/>
        <item h="1" x="61"/>
        <item h="1" x="17"/>
        <item h="1" x="57"/>
        <item h="1" x="53"/>
        <item h="1" x="65"/>
        <item h="1" x="31"/>
        <item h="1" x="51"/>
        <item h="1" x="25"/>
        <item h="1" x="44"/>
        <item h="1" x="27"/>
        <item h="1" x="39"/>
        <item h="1" x="7"/>
        <item h="1" x="77"/>
        <item h="1" x="2"/>
        <item x="30"/>
        <item h="1" x="13"/>
        <item h="1" x="73"/>
        <item h="1" x="18"/>
        <item h="1" x="67"/>
        <item h="1" x="20"/>
        <item h="1" x="59"/>
        <item h="1" x="62"/>
        <item h="1" x="45"/>
        <item h="1" x="5"/>
        <item h="1" x="36"/>
        <item h="1" x="32"/>
        <item h="1" x="69"/>
        <item h="1" x="52"/>
        <item h="1" x="58"/>
        <item h="1" x="46"/>
        <item h="1" x="0"/>
        <item h="1" x="63"/>
        <item h="1" x="55"/>
        <item h="1" x="38"/>
        <item h="1" x="56"/>
        <item h="1" x="16"/>
        <item h="1" x="68"/>
        <item h="1" x="34"/>
        <item h="1" x="47"/>
        <item h="1" x="48"/>
        <item h="1" x="26"/>
        <item h="1" x="42"/>
        <item h="1" x="78"/>
        <item h="1" x="6"/>
        <item h="1" x="11"/>
        <item h="1" x="43"/>
        <item h="1" x="22"/>
        <item h="1" x="60"/>
        <item h="1" x="70"/>
        <item h="1" x="19"/>
        <item h="1" x="28"/>
        <item h="1" x="1"/>
        <item h="1" x="66"/>
        <item h="1" x="1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
    <i>
      <x v="19"/>
    </i>
    <i t="grand">
      <x/>
    </i>
  </rowItems>
  <colItems count="1">
    <i/>
  </colItems>
  <dataFields count="1">
    <dataField name="Sum of Total_Amount" fld="6"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83CD553D-970C-4960-A620-34AC895D7E8D}" sourceName="Date">
  <pivotTables>
    <pivotTable tabId="6" name="PivotTable12"/>
    <pivotTable tabId="6" name="PivotTable13"/>
    <pivotTable tabId="6" name="PivotTable15"/>
    <pivotTable tabId="6" name="PivotTable6"/>
    <pivotTable tabId="6" name="PivotTable7"/>
    <pivotTable tabId="6" name="PivotTable8"/>
  </pivotTables>
  <data>
    <tabular pivotCacheId="1215601529">
      <items count="50">
        <i x="17" s="1"/>
        <i x="0" s="1" nd="1"/>
        <i x="1" s="1" nd="1"/>
        <i x="2" s="1" nd="1"/>
        <i x="3" s="1" nd="1"/>
        <i x="4" s="1" nd="1"/>
        <i x="5" s="1" nd="1"/>
        <i x="6" s="1" nd="1"/>
        <i x="7" s="1" nd="1"/>
        <i x="8" s="1" nd="1"/>
        <i x="9" s="1" nd="1"/>
        <i x="10" s="1" nd="1"/>
        <i x="11" s="1" nd="1"/>
        <i x="12" s="1" nd="1"/>
        <i x="13" s="1" nd="1"/>
        <i x="14" s="1" nd="1"/>
        <i x="15" s="1" nd="1"/>
        <i x="16"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Product" xr10:uid="{D3332947-4E40-4D3A-A2F1-F37037A75F37}" sourceName="Name,Product">
  <pivotTables>
    <pivotTable tabId="6" name="PivotTable7"/>
    <pivotTable tabId="6" name="PivotTable12"/>
    <pivotTable tabId="6" name="PivotTable13"/>
    <pivotTable tabId="6" name="PivotTable15"/>
    <pivotTable tabId="6" name="PivotTable6"/>
    <pivotTable tabId="6" name="PivotTable8"/>
  </pivotTables>
  <data>
    <tabular pivotCacheId="1215601529">
      <items count="14">
        <i x="4" s="1"/>
        <i x="8" nd="1"/>
        <i x="11" nd="1"/>
        <i x="2" nd="1"/>
        <i x="1" nd="1"/>
        <i x="0" nd="1"/>
        <i x="9" nd="1"/>
        <i x="13" nd="1"/>
        <i x="6" nd="1"/>
        <i x="5" nd="1"/>
        <i x="3" nd="1"/>
        <i x="10" nd="1"/>
        <i x="7" nd="1"/>
        <i x="1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CDC926FA-73AF-4287-B02C-E04756F0D18B}" sourceName="Price">
  <pivotTables>
    <pivotTable tabId="6" name="PivotTable6"/>
    <pivotTable tabId="6" name="PivotTable12"/>
    <pivotTable tabId="6" name="PivotTable13"/>
    <pivotTable tabId="6" name="PivotTable15"/>
    <pivotTable tabId="6" name="PivotTable7"/>
    <pivotTable tabId="6" name="PivotTable8"/>
  </pivotTables>
  <data>
    <tabular pivotCacheId="1215601529">
      <items count="79">
        <i x="30" s="1"/>
        <i x="9" nd="1"/>
        <i x="76" nd="1"/>
        <i x="4" nd="1"/>
        <i x="15" nd="1"/>
        <i x="3" nd="1"/>
        <i x="71" nd="1"/>
        <i x="23" nd="1"/>
        <i x="14" nd="1"/>
        <i x="75" nd="1"/>
        <i x="21" nd="1"/>
        <i x="29" nd="1"/>
        <i x="12" nd="1"/>
        <i x="72" nd="1"/>
        <i x="41" nd="1"/>
        <i x="33" nd="1"/>
        <i x="54" nd="1"/>
        <i x="8" nd="1"/>
        <i x="50" nd="1"/>
        <i x="24" nd="1"/>
        <i x="40" nd="1"/>
        <i x="35" nd="1"/>
        <i x="74" nd="1"/>
        <i x="49" nd="1"/>
        <i x="64" nd="1"/>
        <i x="37" nd="1"/>
        <i x="61" nd="1"/>
        <i x="17" nd="1"/>
        <i x="57" nd="1"/>
        <i x="53" nd="1"/>
        <i x="65" nd="1"/>
        <i x="31" nd="1"/>
        <i x="51" nd="1"/>
        <i x="25" nd="1"/>
        <i x="44" nd="1"/>
        <i x="27" nd="1"/>
        <i x="39" nd="1"/>
        <i x="7" nd="1"/>
        <i x="77" nd="1"/>
        <i x="2" nd="1"/>
        <i x="13" nd="1"/>
        <i x="73" nd="1"/>
        <i x="18" nd="1"/>
        <i x="67" nd="1"/>
        <i x="20" nd="1"/>
        <i x="59" nd="1"/>
        <i x="62" nd="1"/>
        <i x="45" nd="1"/>
        <i x="5" nd="1"/>
        <i x="36" nd="1"/>
        <i x="32" nd="1"/>
        <i x="69" nd="1"/>
        <i x="52" nd="1"/>
        <i x="58" nd="1"/>
        <i x="46" nd="1"/>
        <i x="0" nd="1"/>
        <i x="63" nd="1"/>
        <i x="55" nd="1"/>
        <i x="38" nd="1"/>
        <i x="56" nd="1"/>
        <i x="16" nd="1"/>
        <i x="68" nd="1"/>
        <i x="34" nd="1"/>
        <i x="47" nd="1"/>
        <i x="48" nd="1"/>
        <i x="26" nd="1"/>
        <i x="42" nd="1"/>
        <i x="78" nd="1"/>
        <i x="6" nd="1"/>
        <i x="11" nd="1"/>
        <i x="43" nd="1"/>
        <i x="22" nd="1"/>
        <i x="60" nd="1"/>
        <i x="70" nd="1"/>
        <i x="19" nd="1"/>
        <i x="28" nd="1"/>
        <i x="1" nd="1"/>
        <i x="66" nd="1"/>
        <i x="1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D2164CF8-0EE6-4455-8C41-7C278DCF837B}" sourceName="Customer_Name">
  <pivotTables>
    <pivotTable tabId="6" name="PivotTable15"/>
    <pivotTable tabId="6" name="PivotTable12"/>
    <pivotTable tabId="6" name="PivotTable13"/>
    <pivotTable tabId="6" name="PivotTable6"/>
    <pivotTable tabId="6" name="PivotTable7"/>
    <pivotTable tabId="6" name="PivotTable8"/>
  </pivotTables>
  <data>
    <tabular pivotCacheId="1215601529">
      <items count="97">
        <i x="35" s="1"/>
        <i x="48" nd="1"/>
        <i x="67" nd="1"/>
        <i x="60" nd="1"/>
        <i x="20" nd="1"/>
        <i x="2" nd="1"/>
        <i x="1" nd="1"/>
        <i x="31" nd="1"/>
        <i x="55" nd="1"/>
        <i x="28" nd="1"/>
        <i x="80" nd="1"/>
        <i x="70" nd="1"/>
        <i x="12" nd="1"/>
        <i x="86" nd="1"/>
        <i x="64" nd="1"/>
        <i x="40" nd="1"/>
        <i x="77" nd="1"/>
        <i x="85" nd="1"/>
        <i x="8" nd="1"/>
        <i x="75" nd="1"/>
        <i x="65" nd="1"/>
        <i x="45" nd="1"/>
        <i x="14" nd="1"/>
        <i x="58" nd="1"/>
        <i x="42" nd="1"/>
        <i x="37" nd="1"/>
        <i x="21" nd="1"/>
        <i x="93" nd="1"/>
        <i x="62" nd="1"/>
        <i x="41" nd="1"/>
        <i x="26" nd="1"/>
        <i x="96" nd="1"/>
        <i x="5" nd="1"/>
        <i x="19" nd="1"/>
        <i x="79" nd="1"/>
        <i x="44" nd="1"/>
        <i x="24" nd="1"/>
        <i x="92" nd="1"/>
        <i x="6" nd="1"/>
        <i x="17" nd="1"/>
        <i x="76" nd="1"/>
        <i x="43" nd="1"/>
        <i x="50" nd="1"/>
        <i x="57" nd="1"/>
        <i x="11" nd="1"/>
        <i x="34" nd="1"/>
        <i x="73" nd="1"/>
        <i x="69" nd="1"/>
        <i x="63" nd="1"/>
        <i x="9" nd="1"/>
        <i x="71" nd="1"/>
        <i x="29" nd="1"/>
        <i x="53" nd="1"/>
        <i x="87" nd="1"/>
        <i x="82" nd="1"/>
        <i x="0" nd="1"/>
        <i x="38" nd="1"/>
        <i x="10" nd="1"/>
        <i x="78" nd="1"/>
        <i x="4" nd="1"/>
        <i x="54" nd="1"/>
        <i x="25" nd="1"/>
        <i x="51" nd="1"/>
        <i x="91" nd="1"/>
        <i x="81" nd="1"/>
        <i x="47" nd="1"/>
        <i x="68" nd="1"/>
        <i x="84" nd="1"/>
        <i x="72" nd="1"/>
        <i x="36" nd="1"/>
        <i x="16" nd="1"/>
        <i x="32" nd="1"/>
        <i x="52" nd="1"/>
        <i x="66" nd="1"/>
        <i x="30" nd="1"/>
        <i x="95" nd="1"/>
        <i x="15" nd="1"/>
        <i x="13" nd="1"/>
        <i x="61" nd="1"/>
        <i x="49" nd="1"/>
        <i x="74" nd="1"/>
        <i x="59" nd="1"/>
        <i x="23" nd="1"/>
        <i x="39" nd="1"/>
        <i x="94" nd="1"/>
        <i x="83" nd="1"/>
        <i x="90" nd="1"/>
        <i x="3" nd="1"/>
        <i x="33" nd="1"/>
        <i x="18" nd="1"/>
        <i x="27" nd="1"/>
        <i x="88" nd="1"/>
        <i x="56" nd="1"/>
        <i x="7" nd="1"/>
        <i x="46" nd="1"/>
        <i x="22" nd="1"/>
        <i x="8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3AA879-FE1C-4451-AD00-CBCB00987E83}" cache="Slicer_Date" caption="Date" startItem="14" rowHeight="234950"/>
  <slicer name="Name,Product" xr10:uid="{A1087BE6-D7C9-46A2-9AC2-C315D45EA538}" cache="Slicer_Name_Product" caption="Name,Product" rowHeight="234950"/>
  <slicer name="Price" xr10:uid="{6EEDAD73-6481-4399-B354-180AFEE6D958}" cache="Slicer_Price" caption="Price" rowHeight="234950"/>
  <slicer name="Customer_Name" xr10:uid="{00520DAE-B89F-4EA7-8B30-DFF439EC49CF}" cache="Slicer_Customer_Name" caption="Customer_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3BB90A-FEBA-4856-97A1-DBAA43D87BE5}" name="Table6" displayName="Table6" ref="A3:G103" totalsRowShown="0" headerRowDxfId="11" dataDxfId="9" headerRowBorderDxfId="10" tableBorderDxfId="8" totalsRowBorderDxfId="7">
  <tableColumns count="7">
    <tableColumn id="1" xr3:uid="{E0CD5EA8-E642-445F-8D88-6B0EDD89CA39}" name="Sale_ID" dataDxfId="6"/>
    <tableColumn id="2" xr3:uid="{EAF47A1A-4AEE-4977-BE58-84E23FBCA49B}" name="Date" dataDxfId="5"/>
    <tableColumn id="3" xr3:uid="{38B24D66-9854-4406-BFC0-6CBAF5C1043C}" name="Customer_Name" dataDxfId="4"/>
    <tableColumn id="4" xr3:uid="{85784B00-22A4-42E4-8114-FE2F7AC89DA0}" name="Name,Product" dataDxfId="3"/>
    <tableColumn id="5" xr3:uid="{120D9BAE-64A2-4A15-8940-776321702739}" name="Quantity" dataDxfId="2"/>
    <tableColumn id="6" xr3:uid="{DE2B31EF-11BB-4119-B142-EB89BEEE1B77}" name="Price" dataDxfId="1"/>
    <tableColumn id="7" xr3:uid="{D47C4C62-B658-4CA4-845E-8EC98F5692FB}" name="Total_Amount" dataDxfId="0"/>
  </tableColumns>
  <tableStyleInfo name="TableStyleDark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2B6F27-DC03-4B5B-9EC9-56AEDA8ACFDC}" name="Table2" displayName="Table2" ref="A3:G23" totalsRowShown="0" headerRowDxfId="23" dataDxfId="21" headerRowBorderDxfId="22" tableBorderDxfId="20" totalsRowBorderDxfId="19">
  <tableColumns count="7">
    <tableColumn id="1" xr3:uid="{54636698-9ECE-4B84-95C7-305235C1645B}" name="Sale_ID" dataDxfId="18"/>
    <tableColumn id="2" xr3:uid="{BB5C437B-5FDC-4BA5-BCA8-147374BB8783}" name="Date" dataDxfId="17"/>
    <tableColumn id="3" xr3:uid="{2C76B388-0A95-447E-98CA-04D66F66A39F}" name="Customer_Name" dataDxfId="16"/>
    <tableColumn id="4" xr3:uid="{6E100886-1394-477A-8ED0-983A5F16C4E1}" name="Name,Product" dataDxfId="15"/>
    <tableColumn id="5" xr3:uid="{99F3CBD0-8FD6-4A06-B00C-23C3E187E3B5}" name="Quantity" dataDxfId="14"/>
    <tableColumn id="6" xr3:uid="{B210C67E-F221-423B-AA84-59F50AF2F05B}" name="Price" dataDxfId="13"/>
    <tableColumn id="7" xr3:uid="{2403A4B6-123D-42EA-8930-C5C2B0363BDB}" name="Total_Amount" dataDxfId="1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2FDEA-A95D-4CDE-B407-491EE4A1867E}">
  <dimension ref="A1:O104"/>
  <sheetViews>
    <sheetView tabSelected="1" topLeftCell="C4" workbookViewId="0">
      <selection activeCell="J43" sqref="J43"/>
    </sheetView>
  </sheetViews>
  <sheetFormatPr defaultRowHeight="14.4" x14ac:dyDescent="0.3"/>
  <cols>
    <col min="1" max="1" width="14.5546875" style="3" customWidth="1"/>
    <col min="2" max="2" width="14.21875" style="3" customWidth="1"/>
    <col min="3" max="3" width="17.88671875" style="3" customWidth="1"/>
    <col min="4" max="4" width="16.6640625" style="3" customWidth="1"/>
    <col min="5" max="5" width="15.77734375" style="3" customWidth="1"/>
    <col min="6" max="6" width="13.88671875" style="3" customWidth="1"/>
    <col min="7" max="7" width="15.6640625" style="3" customWidth="1"/>
    <col min="9" max="9" width="16.109375" customWidth="1"/>
    <col min="10" max="10" width="19.77734375" customWidth="1"/>
    <col min="11" max="11" width="17.5546875" customWidth="1"/>
    <col min="12" max="12" width="13.44140625" customWidth="1"/>
    <col min="13" max="13" width="15.21875" bestFit="1" customWidth="1"/>
    <col min="14" max="14" width="13.109375" customWidth="1"/>
    <col min="15" max="15" width="13.33203125" customWidth="1"/>
  </cols>
  <sheetData>
    <row r="1" spans="1:14" s="49" customFormat="1" ht="30.6" customHeight="1" x14ac:dyDescent="0.65">
      <c r="A1" s="48" t="s">
        <v>138</v>
      </c>
    </row>
    <row r="2" spans="1:14" ht="19.2" customHeight="1" x14ac:dyDescent="0.3">
      <c r="A2" s="11"/>
      <c r="B2" s="11"/>
      <c r="C2" s="11"/>
      <c r="D2" s="11"/>
      <c r="E2" s="11"/>
      <c r="F2" s="11"/>
      <c r="G2" s="11"/>
      <c r="J2" s="10"/>
    </row>
    <row r="3" spans="1:14" s="1" customFormat="1" ht="15" x14ac:dyDescent="0.3">
      <c r="A3" s="29" t="s">
        <v>0</v>
      </c>
      <c r="B3" s="30" t="s">
        <v>1</v>
      </c>
      <c r="C3" s="30" t="s">
        <v>2</v>
      </c>
      <c r="D3" s="30" t="s">
        <v>116</v>
      </c>
      <c r="E3" s="30" t="s">
        <v>117</v>
      </c>
      <c r="F3" s="30" t="s">
        <v>3</v>
      </c>
      <c r="G3" s="31" t="s">
        <v>4</v>
      </c>
      <c r="J3" s="44" t="s">
        <v>127</v>
      </c>
    </row>
    <row r="4" spans="1:14" x14ac:dyDescent="0.3">
      <c r="A4" s="22">
        <v>1</v>
      </c>
      <c r="B4" s="4">
        <v>45658</v>
      </c>
      <c r="C4" s="3" t="s">
        <v>5</v>
      </c>
      <c r="D4" s="3" t="s">
        <v>35</v>
      </c>
      <c r="E4" s="3">
        <v>1</v>
      </c>
      <c r="F4" s="3">
        <v>15000</v>
      </c>
      <c r="G4" s="23">
        <v>15000</v>
      </c>
      <c r="I4" s="12"/>
      <c r="J4" s="26" t="s">
        <v>3</v>
      </c>
      <c r="K4" s="21" t="s">
        <v>4</v>
      </c>
      <c r="L4" s="12"/>
      <c r="M4" s="12"/>
      <c r="N4" s="12"/>
    </row>
    <row r="5" spans="1:14" x14ac:dyDescent="0.3">
      <c r="A5" s="22">
        <v>2</v>
      </c>
      <c r="B5" s="4">
        <v>45658</v>
      </c>
      <c r="C5" s="3" t="s">
        <v>6</v>
      </c>
      <c r="D5" s="3" t="s">
        <v>36</v>
      </c>
      <c r="E5" s="3">
        <v>1</v>
      </c>
      <c r="F5" s="3">
        <v>52000</v>
      </c>
      <c r="G5" s="23">
        <v>52000</v>
      </c>
      <c r="I5" s="12"/>
      <c r="J5" s="3">
        <v>15000</v>
      </c>
      <c r="K5" s="3">
        <v>15000</v>
      </c>
      <c r="L5" s="12"/>
      <c r="M5" s="11"/>
    </row>
    <row r="6" spans="1:14" x14ac:dyDescent="0.3">
      <c r="A6" s="22">
        <v>3</v>
      </c>
      <c r="B6" s="4">
        <v>45659</v>
      </c>
      <c r="C6" s="3" t="s">
        <v>7</v>
      </c>
      <c r="D6" s="3" t="s">
        <v>37</v>
      </c>
      <c r="E6" s="3">
        <v>2</v>
      </c>
      <c r="F6" s="3">
        <v>15000</v>
      </c>
      <c r="G6" s="23">
        <v>3000</v>
      </c>
      <c r="I6" s="12"/>
      <c r="J6" s="3">
        <v>52000</v>
      </c>
      <c r="K6" s="3">
        <v>52000</v>
      </c>
      <c r="L6" s="12"/>
      <c r="M6" s="12"/>
    </row>
    <row r="7" spans="1:14" x14ac:dyDescent="0.3">
      <c r="A7" s="22">
        <v>4</v>
      </c>
      <c r="B7" s="4">
        <v>45659</v>
      </c>
      <c r="C7" s="3" t="s">
        <v>8</v>
      </c>
      <c r="D7" s="3" t="s">
        <v>38</v>
      </c>
      <c r="E7" s="3">
        <v>1</v>
      </c>
      <c r="F7" s="3">
        <v>4500</v>
      </c>
      <c r="G7" s="23">
        <v>4500</v>
      </c>
      <c r="I7" s="12"/>
      <c r="J7" s="3">
        <v>15000</v>
      </c>
      <c r="K7" s="3">
        <v>3000</v>
      </c>
      <c r="L7" s="12"/>
      <c r="M7" s="12"/>
    </row>
    <row r="8" spans="1:14" x14ac:dyDescent="0.3">
      <c r="A8" s="22">
        <v>5</v>
      </c>
      <c r="B8" s="4">
        <v>45660</v>
      </c>
      <c r="C8" s="3" t="s">
        <v>9</v>
      </c>
      <c r="D8" s="3" t="s">
        <v>39</v>
      </c>
      <c r="E8" s="3">
        <v>3</v>
      </c>
      <c r="F8" s="3">
        <v>700</v>
      </c>
      <c r="G8" s="23">
        <v>2100</v>
      </c>
      <c r="I8" s="12"/>
      <c r="J8" s="3">
        <v>4500</v>
      </c>
      <c r="K8" s="3">
        <v>4500</v>
      </c>
      <c r="L8" s="12"/>
      <c r="M8" s="12"/>
    </row>
    <row r="9" spans="1:14" x14ac:dyDescent="0.3">
      <c r="A9" s="22">
        <v>6</v>
      </c>
      <c r="B9" s="4">
        <v>45660</v>
      </c>
      <c r="C9" s="3" t="s">
        <v>10</v>
      </c>
      <c r="D9" s="3" t="s">
        <v>40</v>
      </c>
      <c r="E9" s="3">
        <v>2</v>
      </c>
      <c r="F9" s="5">
        <v>500</v>
      </c>
      <c r="G9" s="23">
        <v>1000</v>
      </c>
      <c r="I9" s="12"/>
      <c r="J9" s="3">
        <v>700</v>
      </c>
      <c r="K9" s="3">
        <v>2100</v>
      </c>
      <c r="L9" s="12"/>
      <c r="M9" s="12"/>
    </row>
    <row r="10" spans="1:14" x14ac:dyDescent="0.3">
      <c r="A10" s="22">
        <v>7</v>
      </c>
      <c r="B10" s="4">
        <v>45661</v>
      </c>
      <c r="C10" s="3" t="s">
        <v>11</v>
      </c>
      <c r="D10" s="3" t="s">
        <v>41</v>
      </c>
      <c r="E10" s="3">
        <v>1</v>
      </c>
      <c r="F10" s="3">
        <v>12000</v>
      </c>
      <c r="G10" s="23">
        <v>12000</v>
      </c>
      <c r="I10" s="12"/>
      <c r="J10" s="5">
        <v>500</v>
      </c>
      <c r="K10" s="3">
        <v>1000</v>
      </c>
      <c r="L10" s="12"/>
      <c r="M10" s="12"/>
    </row>
    <row r="11" spans="1:14" x14ac:dyDescent="0.3">
      <c r="A11" s="22">
        <v>8</v>
      </c>
      <c r="B11" s="4">
        <v>45661</v>
      </c>
      <c r="C11" s="3" t="s">
        <v>12</v>
      </c>
      <c r="D11" s="3" t="s">
        <v>35</v>
      </c>
      <c r="E11" s="3">
        <v>1</v>
      </c>
      <c r="F11" s="3">
        <v>18000</v>
      </c>
      <c r="G11" s="23">
        <v>18000</v>
      </c>
      <c r="I11" s="12"/>
      <c r="J11" s="3">
        <v>12000</v>
      </c>
      <c r="K11" s="3">
        <v>12000</v>
      </c>
      <c r="L11" s="12"/>
      <c r="M11" s="12"/>
    </row>
    <row r="12" spans="1:14" x14ac:dyDescent="0.3">
      <c r="A12" s="22">
        <v>9</v>
      </c>
      <c r="B12" s="4">
        <v>45662</v>
      </c>
      <c r="C12" s="3" t="s">
        <v>13</v>
      </c>
      <c r="D12" s="3" t="s">
        <v>42</v>
      </c>
      <c r="E12" s="3">
        <v>4</v>
      </c>
      <c r="F12" s="5">
        <v>4200</v>
      </c>
      <c r="G12" s="23">
        <v>800</v>
      </c>
      <c r="I12" s="12"/>
      <c r="J12" s="3">
        <v>18000</v>
      </c>
      <c r="K12" s="3">
        <v>18000</v>
      </c>
      <c r="L12" s="12"/>
      <c r="M12" s="12"/>
    </row>
    <row r="13" spans="1:14" x14ac:dyDescent="0.3">
      <c r="A13" s="22">
        <v>10</v>
      </c>
      <c r="B13" s="4">
        <v>45662</v>
      </c>
      <c r="C13" s="3" t="s">
        <v>14</v>
      </c>
      <c r="D13" s="3" t="s">
        <v>43</v>
      </c>
      <c r="E13" s="3">
        <v>1</v>
      </c>
      <c r="F13" s="3">
        <v>1800</v>
      </c>
      <c r="G13" s="23">
        <v>800</v>
      </c>
      <c r="I13" s="12"/>
      <c r="J13" s="5">
        <v>4200</v>
      </c>
      <c r="K13" s="3">
        <v>800</v>
      </c>
      <c r="L13" s="12"/>
      <c r="M13" s="12"/>
    </row>
    <row r="14" spans="1:14" x14ac:dyDescent="0.3">
      <c r="A14" s="22">
        <v>11</v>
      </c>
      <c r="B14" s="4">
        <v>45662</v>
      </c>
      <c r="C14" s="3" t="s">
        <v>15</v>
      </c>
      <c r="D14" s="3" t="s">
        <v>44</v>
      </c>
      <c r="E14" s="3">
        <v>3</v>
      </c>
      <c r="F14" s="3">
        <v>150</v>
      </c>
      <c r="G14" s="23">
        <v>450</v>
      </c>
      <c r="I14" s="12"/>
      <c r="J14" s="3">
        <v>1800</v>
      </c>
      <c r="K14" s="3">
        <v>800</v>
      </c>
      <c r="L14" s="12"/>
      <c r="M14" s="12"/>
    </row>
    <row r="15" spans="1:14" x14ac:dyDescent="0.3">
      <c r="A15" s="22">
        <v>12</v>
      </c>
      <c r="B15" s="4">
        <v>45663</v>
      </c>
      <c r="C15" s="3" t="s">
        <v>16</v>
      </c>
      <c r="D15" s="3" t="s">
        <v>36</v>
      </c>
      <c r="E15" s="3">
        <v>1</v>
      </c>
      <c r="F15" s="3">
        <v>55000</v>
      </c>
      <c r="G15" s="23">
        <v>55000</v>
      </c>
      <c r="J15" s="20">
        <f>SUM(J5:J14)</f>
        <v>123700</v>
      </c>
      <c r="K15" s="20">
        <f>SUM(K5:K14)</f>
        <v>109200</v>
      </c>
    </row>
    <row r="16" spans="1:14" x14ac:dyDescent="0.3">
      <c r="A16" s="22">
        <v>13</v>
      </c>
      <c r="B16" s="4">
        <v>45663</v>
      </c>
      <c r="C16" s="3" t="s">
        <v>17</v>
      </c>
      <c r="D16" s="3" t="s">
        <v>45</v>
      </c>
      <c r="E16" s="3">
        <v>1</v>
      </c>
      <c r="F16" s="3">
        <v>20000</v>
      </c>
      <c r="G16" s="23">
        <v>20000</v>
      </c>
    </row>
    <row r="17" spans="1:15" x14ac:dyDescent="0.3">
      <c r="A17" s="22">
        <v>14</v>
      </c>
      <c r="B17" s="4">
        <v>45664</v>
      </c>
      <c r="C17" s="3" t="s">
        <v>18</v>
      </c>
      <c r="D17" s="3" t="s">
        <v>46</v>
      </c>
      <c r="E17" s="3">
        <v>2</v>
      </c>
      <c r="F17" s="3">
        <v>1200</v>
      </c>
      <c r="G17" s="23">
        <v>2400</v>
      </c>
    </row>
    <row r="18" spans="1:15" ht="15" x14ac:dyDescent="0.3">
      <c r="A18" s="22">
        <v>15</v>
      </c>
      <c r="B18" s="4">
        <v>45664</v>
      </c>
      <c r="C18" s="3" t="s">
        <v>19</v>
      </c>
      <c r="D18" s="3" t="s">
        <v>38</v>
      </c>
      <c r="E18" s="3">
        <v>1</v>
      </c>
      <c r="F18" s="3">
        <v>5000</v>
      </c>
      <c r="G18" s="23">
        <v>5000</v>
      </c>
      <c r="J18" s="45" t="s">
        <v>128</v>
      </c>
      <c r="M18" s="46" t="s">
        <v>129</v>
      </c>
    </row>
    <row r="19" spans="1:15" x14ac:dyDescent="0.3">
      <c r="A19" s="22">
        <v>16</v>
      </c>
      <c r="B19" s="4">
        <v>45665</v>
      </c>
      <c r="C19" s="3" t="s">
        <v>20</v>
      </c>
      <c r="D19" s="3" t="s">
        <v>39</v>
      </c>
      <c r="E19" s="3">
        <v>1</v>
      </c>
      <c r="F19" s="3">
        <v>800</v>
      </c>
      <c r="G19" s="23">
        <v>800</v>
      </c>
    </row>
    <row r="20" spans="1:15" x14ac:dyDescent="0.3">
      <c r="A20" s="22">
        <v>17</v>
      </c>
      <c r="B20" s="4">
        <v>45665</v>
      </c>
      <c r="C20" s="3" t="s">
        <v>21</v>
      </c>
      <c r="D20" s="3" t="s">
        <v>40</v>
      </c>
      <c r="E20" s="3">
        <v>1</v>
      </c>
      <c r="F20" s="3">
        <v>600</v>
      </c>
      <c r="G20" s="23">
        <v>600</v>
      </c>
      <c r="J20" s="28" t="s">
        <v>117</v>
      </c>
      <c r="K20" s="28" t="s">
        <v>3</v>
      </c>
      <c r="M20" s="28" t="s">
        <v>3</v>
      </c>
      <c r="N20" s="28" t="s">
        <v>4</v>
      </c>
      <c r="O20" s="12"/>
    </row>
    <row r="21" spans="1:15" x14ac:dyDescent="0.3">
      <c r="A21" s="22">
        <v>18</v>
      </c>
      <c r="B21" s="4">
        <v>45666</v>
      </c>
      <c r="C21" s="3" t="s">
        <v>22</v>
      </c>
      <c r="D21" s="3" t="s">
        <v>35</v>
      </c>
      <c r="E21" s="3">
        <v>1</v>
      </c>
      <c r="F21" s="3">
        <v>16000</v>
      </c>
      <c r="G21" s="23">
        <v>16000</v>
      </c>
      <c r="J21" s="3">
        <v>1</v>
      </c>
      <c r="K21" s="3">
        <v>15000</v>
      </c>
      <c r="M21" s="3">
        <v>15000</v>
      </c>
      <c r="N21" s="3">
        <v>15000</v>
      </c>
      <c r="O21" s="12"/>
    </row>
    <row r="22" spans="1:15" x14ac:dyDescent="0.3">
      <c r="A22" s="22">
        <v>19</v>
      </c>
      <c r="B22" s="4">
        <v>45666</v>
      </c>
      <c r="C22" s="3" t="s">
        <v>23</v>
      </c>
      <c r="D22" s="3" t="s">
        <v>43</v>
      </c>
      <c r="E22" s="3">
        <v>2</v>
      </c>
      <c r="F22" s="3">
        <v>2750</v>
      </c>
      <c r="G22" s="23">
        <v>1500</v>
      </c>
      <c r="J22" s="3">
        <v>1</v>
      </c>
      <c r="K22" s="3">
        <v>52000</v>
      </c>
      <c r="M22" s="3">
        <v>52000</v>
      </c>
      <c r="N22" s="3">
        <v>52000</v>
      </c>
      <c r="O22" s="12"/>
    </row>
    <row r="23" spans="1:15" x14ac:dyDescent="0.3">
      <c r="A23" s="22">
        <v>20</v>
      </c>
      <c r="B23" s="4">
        <v>45667</v>
      </c>
      <c r="C23" s="3" t="s">
        <v>24</v>
      </c>
      <c r="D23" s="3" t="s">
        <v>47</v>
      </c>
      <c r="E23" s="3">
        <v>5</v>
      </c>
      <c r="F23" s="3">
        <v>5180</v>
      </c>
      <c r="G23" s="23">
        <v>900</v>
      </c>
      <c r="J23" s="3">
        <v>2</v>
      </c>
      <c r="K23" s="3">
        <v>15000</v>
      </c>
      <c r="M23" s="3">
        <v>15000</v>
      </c>
      <c r="N23" s="3">
        <v>3000</v>
      </c>
      <c r="O23" s="12"/>
    </row>
    <row r="24" spans="1:15" x14ac:dyDescent="0.3">
      <c r="A24" s="22">
        <v>21</v>
      </c>
      <c r="B24" s="4">
        <v>45667</v>
      </c>
      <c r="C24" s="3" t="s">
        <v>25</v>
      </c>
      <c r="D24" s="3" t="s">
        <v>36</v>
      </c>
      <c r="E24" s="3">
        <v>1</v>
      </c>
      <c r="F24" s="3">
        <v>48000</v>
      </c>
      <c r="G24" s="23">
        <v>48000</v>
      </c>
      <c r="J24" s="3">
        <v>1</v>
      </c>
      <c r="K24" s="3">
        <v>4500</v>
      </c>
      <c r="M24" s="3">
        <v>4500</v>
      </c>
      <c r="N24" s="3">
        <v>4500</v>
      </c>
      <c r="O24" s="12"/>
    </row>
    <row r="25" spans="1:15" x14ac:dyDescent="0.3">
      <c r="A25" s="22">
        <v>22</v>
      </c>
      <c r="B25" s="4">
        <v>45668</v>
      </c>
      <c r="C25" s="3" t="s">
        <v>26</v>
      </c>
      <c r="D25" s="3" t="s">
        <v>41</v>
      </c>
      <c r="E25" s="3">
        <v>1</v>
      </c>
      <c r="F25" s="3">
        <v>11000</v>
      </c>
      <c r="G25" s="23">
        <v>11000</v>
      </c>
      <c r="J25" s="3">
        <v>3</v>
      </c>
      <c r="K25" s="3">
        <v>700</v>
      </c>
      <c r="M25" s="3">
        <v>700</v>
      </c>
      <c r="N25" s="3">
        <v>2100</v>
      </c>
      <c r="O25" s="12"/>
    </row>
    <row r="26" spans="1:15" x14ac:dyDescent="0.3">
      <c r="A26" s="22">
        <v>23</v>
      </c>
      <c r="B26" s="4">
        <v>45668</v>
      </c>
      <c r="C26" s="3" t="s">
        <v>27</v>
      </c>
      <c r="D26" s="3" t="s">
        <v>46</v>
      </c>
      <c r="E26" s="3">
        <v>1</v>
      </c>
      <c r="F26" s="3">
        <v>1000</v>
      </c>
      <c r="G26" s="23">
        <v>1000</v>
      </c>
      <c r="J26" s="3">
        <v>2</v>
      </c>
      <c r="K26" s="5">
        <v>500</v>
      </c>
      <c r="M26" s="5">
        <v>500</v>
      </c>
      <c r="N26" s="3">
        <v>1000</v>
      </c>
      <c r="O26" s="12"/>
    </row>
    <row r="27" spans="1:15" x14ac:dyDescent="0.3">
      <c r="A27" s="22">
        <v>24</v>
      </c>
      <c r="B27" s="4">
        <v>45669</v>
      </c>
      <c r="C27" s="3" t="s">
        <v>28</v>
      </c>
      <c r="D27" s="3" t="s">
        <v>38</v>
      </c>
      <c r="E27" s="3">
        <v>2</v>
      </c>
      <c r="F27" s="3">
        <v>4200</v>
      </c>
      <c r="G27" s="23">
        <v>8400</v>
      </c>
      <c r="J27" s="3">
        <v>1</v>
      </c>
      <c r="K27" s="3">
        <v>12000</v>
      </c>
      <c r="M27" s="3">
        <v>12000</v>
      </c>
      <c r="N27" s="3">
        <v>12000</v>
      </c>
      <c r="O27" s="12"/>
    </row>
    <row r="28" spans="1:15" x14ac:dyDescent="0.3">
      <c r="A28" s="22">
        <v>25</v>
      </c>
      <c r="B28" s="4">
        <v>45669</v>
      </c>
      <c r="C28" s="3" t="s">
        <v>29</v>
      </c>
      <c r="D28" s="3" t="s">
        <v>45</v>
      </c>
      <c r="E28" s="3">
        <v>1</v>
      </c>
      <c r="F28" s="3">
        <v>22000</v>
      </c>
      <c r="G28" s="23">
        <v>22000</v>
      </c>
      <c r="J28" s="3">
        <v>1</v>
      </c>
      <c r="K28" s="3">
        <v>18000</v>
      </c>
      <c r="M28" s="3">
        <v>18000</v>
      </c>
      <c r="N28" s="3">
        <v>18000</v>
      </c>
      <c r="O28" s="12"/>
    </row>
    <row r="29" spans="1:15" x14ac:dyDescent="0.3">
      <c r="A29" s="22">
        <v>26</v>
      </c>
      <c r="B29" s="4">
        <v>45670</v>
      </c>
      <c r="C29" s="3" t="s">
        <v>30</v>
      </c>
      <c r="D29" s="3" t="s">
        <v>39</v>
      </c>
      <c r="E29" s="3">
        <v>3</v>
      </c>
      <c r="F29" s="3">
        <v>1000</v>
      </c>
      <c r="G29" s="23">
        <v>1000</v>
      </c>
      <c r="J29" s="20">
        <f>COUNT(J21:J28)</f>
        <v>8</v>
      </c>
      <c r="K29" s="27">
        <f>COUNT(K21:K28)</f>
        <v>8</v>
      </c>
      <c r="M29" s="5">
        <v>4200</v>
      </c>
      <c r="N29" s="3">
        <v>800</v>
      </c>
      <c r="O29" s="12"/>
    </row>
    <row r="30" spans="1:15" x14ac:dyDescent="0.3">
      <c r="A30" s="22">
        <v>27</v>
      </c>
      <c r="B30" s="4">
        <v>45670</v>
      </c>
      <c r="C30" s="3" t="s">
        <v>31</v>
      </c>
      <c r="D30" s="3" t="s">
        <v>43</v>
      </c>
      <c r="E30" s="3">
        <v>1</v>
      </c>
      <c r="F30" s="3">
        <v>4200</v>
      </c>
      <c r="G30" s="23">
        <v>8400</v>
      </c>
      <c r="M30" s="3">
        <v>1800</v>
      </c>
      <c r="N30" s="3">
        <v>800</v>
      </c>
      <c r="O30" s="12"/>
    </row>
    <row r="31" spans="1:15" x14ac:dyDescent="0.3">
      <c r="A31" s="22">
        <v>28</v>
      </c>
      <c r="B31" s="4">
        <v>45671</v>
      </c>
      <c r="C31" s="3" t="s">
        <v>32</v>
      </c>
      <c r="D31" s="3" t="s">
        <v>40</v>
      </c>
      <c r="E31" s="3">
        <v>4</v>
      </c>
      <c r="F31" s="3">
        <v>22000</v>
      </c>
      <c r="G31" s="23">
        <v>22000</v>
      </c>
      <c r="M31" s="20">
        <f>AVERAGE(M21:M30)</f>
        <v>12370</v>
      </c>
      <c r="N31" s="20">
        <f>AVERAGE(N21:N30)</f>
        <v>10920</v>
      </c>
      <c r="O31" s="12"/>
    </row>
    <row r="32" spans="1:15" x14ac:dyDescent="0.3">
      <c r="A32" s="22">
        <v>29</v>
      </c>
      <c r="B32" s="4">
        <v>45671</v>
      </c>
      <c r="C32" s="3" t="s">
        <v>33</v>
      </c>
      <c r="D32" s="3" t="s">
        <v>35</v>
      </c>
      <c r="E32" s="3">
        <v>1</v>
      </c>
      <c r="F32" s="3">
        <v>750</v>
      </c>
      <c r="G32" s="23">
        <v>1500</v>
      </c>
    </row>
    <row r="33" spans="1:11" ht="15" x14ac:dyDescent="0.3">
      <c r="A33" s="22">
        <v>30</v>
      </c>
      <c r="B33" s="4">
        <v>45672</v>
      </c>
      <c r="C33" s="3" t="s">
        <v>34</v>
      </c>
      <c r="D33" s="3" t="s">
        <v>48</v>
      </c>
      <c r="E33" s="3">
        <v>2</v>
      </c>
      <c r="F33" s="3">
        <v>1850</v>
      </c>
      <c r="G33" s="23">
        <v>850</v>
      </c>
      <c r="J33" s="46" t="s">
        <v>132</v>
      </c>
    </row>
    <row r="34" spans="1:11" x14ac:dyDescent="0.3">
      <c r="A34" s="22">
        <v>31</v>
      </c>
      <c r="B34" s="4">
        <v>45672</v>
      </c>
      <c r="C34" s="3" t="s">
        <v>49</v>
      </c>
      <c r="D34" s="3" t="s">
        <v>36</v>
      </c>
      <c r="E34" s="3">
        <v>1</v>
      </c>
      <c r="F34" s="3">
        <v>3550</v>
      </c>
      <c r="G34" s="23">
        <v>1650</v>
      </c>
    </row>
    <row r="35" spans="1:11" x14ac:dyDescent="0.3">
      <c r="A35" s="22">
        <v>32</v>
      </c>
      <c r="B35" s="4">
        <v>45673</v>
      </c>
      <c r="C35" s="3" t="s">
        <v>50</v>
      </c>
      <c r="D35" s="3" t="s">
        <v>46</v>
      </c>
      <c r="E35" s="3">
        <v>2</v>
      </c>
      <c r="F35" s="3">
        <v>17000</v>
      </c>
      <c r="G35" s="23">
        <v>17000</v>
      </c>
      <c r="I35" s="12"/>
      <c r="J35" s="28" t="s">
        <v>2</v>
      </c>
      <c r="K35" s="28" t="s">
        <v>116</v>
      </c>
    </row>
    <row r="36" spans="1:11" x14ac:dyDescent="0.3">
      <c r="A36" s="22">
        <v>33</v>
      </c>
      <c r="B36" s="4">
        <v>45673</v>
      </c>
      <c r="C36" s="3" t="s">
        <v>51</v>
      </c>
      <c r="D36" s="3" t="s">
        <v>38</v>
      </c>
      <c r="E36" s="3">
        <v>1</v>
      </c>
      <c r="F36" s="3">
        <v>4180</v>
      </c>
      <c r="G36" s="23">
        <v>720</v>
      </c>
      <c r="I36" s="12"/>
      <c r="J36" s="3" t="s">
        <v>57</v>
      </c>
      <c r="K36" s="3" t="s">
        <v>43</v>
      </c>
    </row>
    <row r="37" spans="1:11" x14ac:dyDescent="0.3">
      <c r="A37" s="22">
        <v>34</v>
      </c>
      <c r="B37" s="4">
        <v>45674</v>
      </c>
      <c r="C37" s="3" t="s">
        <v>52</v>
      </c>
      <c r="D37" s="3" t="s">
        <v>47</v>
      </c>
      <c r="E37" s="3">
        <v>3</v>
      </c>
      <c r="F37" s="3">
        <v>51000</v>
      </c>
      <c r="G37" s="23">
        <v>51000</v>
      </c>
      <c r="I37" s="12"/>
      <c r="J37" s="12"/>
    </row>
    <row r="38" spans="1:11" x14ac:dyDescent="0.3">
      <c r="A38" s="22">
        <v>35</v>
      </c>
      <c r="B38" s="4">
        <v>45674</v>
      </c>
      <c r="C38" s="3" t="s">
        <v>53</v>
      </c>
      <c r="D38" s="3" t="s">
        <v>41</v>
      </c>
      <c r="E38" s="3">
        <v>1</v>
      </c>
      <c r="F38" s="3">
        <v>1100</v>
      </c>
      <c r="G38" s="23">
        <v>2200</v>
      </c>
      <c r="I38" s="12"/>
      <c r="J38" s="28" t="s">
        <v>4</v>
      </c>
    </row>
    <row r="39" spans="1:11" x14ac:dyDescent="0.3">
      <c r="A39" s="22">
        <v>36</v>
      </c>
      <c r="B39" s="4">
        <v>45675</v>
      </c>
      <c r="C39" s="3" t="s">
        <v>54</v>
      </c>
      <c r="D39" s="3" t="s">
        <v>39</v>
      </c>
      <c r="E39" s="3">
        <v>1</v>
      </c>
      <c r="F39" s="3">
        <v>4800</v>
      </c>
      <c r="G39" s="23">
        <v>4800</v>
      </c>
      <c r="I39" s="12"/>
      <c r="J39" s="2">
        <f>SUMIFS(G3:G103,C3:C103,J36,D3:D103,K36)</f>
        <v>700</v>
      </c>
    </row>
    <row r="40" spans="1:11" x14ac:dyDescent="0.3">
      <c r="A40" s="22">
        <v>37</v>
      </c>
      <c r="B40" s="4">
        <v>45675</v>
      </c>
      <c r="C40" s="3" t="s">
        <v>55</v>
      </c>
      <c r="D40" s="3" t="s">
        <v>45</v>
      </c>
      <c r="E40" s="3">
        <v>1</v>
      </c>
      <c r="F40" s="3">
        <v>3190</v>
      </c>
      <c r="G40" s="23">
        <v>570</v>
      </c>
      <c r="I40" s="12"/>
      <c r="J40" s="12"/>
    </row>
    <row r="41" spans="1:11" x14ac:dyDescent="0.3">
      <c r="A41" s="22">
        <v>38</v>
      </c>
      <c r="B41" s="4">
        <v>45676</v>
      </c>
      <c r="C41" s="3" t="s">
        <v>56</v>
      </c>
      <c r="D41" s="3" t="s">
        <v>40</v>
      </c>
      <c r="E41" s="3">
        <v>2</v>
      </c>
      <c r="F41" s="3">
        <v>13000</v>
      </c>
      <c r="G41" s="23">
        <v>13000</v>
      </c>
      <c r="I41" s="12"/>
      <c r="J41" s="12"/>
    </row>
    <row r="42" spans="1:11" ht="15" x14ac:dyDescent="0.3">
      <c r="A42" s="22">
        <v>39</v>
      </c>
      <c r="B42" s="4">
        <v>45676</v>
      </c>
      <c r="C42" s="3" t="s">
        <v>57</v>
      </c>
      <c r="D42" s="3" t="s">
        <v>43</v>
      </c>
      <c r="E42" s="3">
        <v>2</v>
      </c>
      <c r="F42" s="3">
        <v>1700</v>
      </c>
      <c r="G42" s="23">
        <v>700</v>
      </c>
      <c r="I42" s="12"/>
      <c r="J42" s="47" t="s">
        <v>130</v>
      </c>
      <c r="K42" s="47" t="s">
        <v>130</v>
      </c>
    </row>
    <row r="43" spans="1:11" x14ac:dyDescent="0.3">
      <c r="A43" s="22">
        <v>40</v>
      </c>
      <c r="B43" s="4">
        <v>45677</v>
      </c>
      <c r="C43" s="3" t="s">
        <v>58</v>
      </c>
      <c r="D43" s="3" t="s">
        <v>37</v>
      </c>
      <c r="E43" s="3">
        <v>1</v>
      </c>
      <c r="F43" s="3">
        <v>16500</v>
      </c>
      <c r="G43" s="23">
        <v>16500</v>
      </c>
      <c r="I43" s="12"/>
      <c r="J43" s="3" t="str" cm="1">
        <f t="array" ref="J43">_xlfn.IFS(F5&gt;=52000,"High",F5&gt;=21500,"Medium",F5&lt;21500,"low")</f>
        <v>High</v>
      </c>
      <c r="K43" s="3" t="str" cm="1">
        <f t="array" ref="K43">_xlfn.IFS(G15&gt;=55000,"High",G15&gt;=900,"Medium",G15&lt;=900,"Low")</f>
        <v>High</v>
      </c>
    </row>
    <row r="44" spans="1:11" x14ac:dyDescent="0.3">
      <c r="A44" s="22">
        <v>41</v>
      </c>
      <c r="B44" s="4">
        <v>45677</v>
      </c>
      <c r="C44" s="3" t="s">
        <v>59</v>
      </c>
      <c r="D44" s="3" t="s">
        <v>35</v>
      </c>
      <c r="E44" s="3">
        <v>1</v>
      </c>
      <c r="F44" s="3">
        <v>2200</v>
      </c>
      <c r="G44" s="23">
        <v>400</v>
      </c>
      <c r="I44" s="12"/>
      <c r="J44" s="3" t="str" cm="1">
        <f t="array" ref="J44">_xlfn.IFS(F6&gt;=52000,"High",F6&gt;=21500,"Medium",F6&lt;21500,"low")</f>
        <v>low</v>
      </c>
      <c r="K44" s="3" t="str" cm="1">
        <f t="array" ref="K44">_xlfn.IFS(G16&gt;=55000,"High",G16&gt;=900,"Medium",G16&lt;=900,"Low")</f>
        <v>Medium</v>
      </c>
    </row>
    <row r="45" spans="1:11" x14ac:dyDescent="0.3">
      <c r="A45" s="22">
        <v>42</v>
      </c>
      <c r="B45" s="4">
        <v>45678</v>
      </c>
      <c r="C45" s="3" t="s">
        <v>60</v>
      </c>
      <c r="D45" s="3" t="s">
        <v>48</v>
      </c>
      <c r="E45" s="3">
        <v>2</v>
      </c>
      <c r="F45" s="3">
        <v>12500</v>
      </c>
      <c r="G45" s="23">
        <v>12500</v>
      </c>
      <c r="J45" s="3" t="str" cm="1">
        <f t="array" ref="J45">_xlfn.IFS(F7&gt;=52000,"High",F7&gt;=21500,"Medium",F7&lt;21500,"low")</f>
        <v>low</v>
      </c>
      <c r="K45" s="3" t="str" cm="1">
        <f t="array" ref="K45">_xlfn.IFS(G17&gt;=55000,"High",G17&gt;=900,"Medium",G17&lt;=900,"Low")</f>
        <v>Medium</v>
      </c>
    </row>
    <row r="46" spans="1:11" x14ac:dyDescent="0.3">
      <c r="A46" s="22">
        <v>43</v>
      </c>
      <c r="B46" s="4">
        <v>45678</v>
      </c>
      <c r="C46" s="3" t="s">
        <v>61</v>
      </c>
      <c r="D46" s="3" t="s">
        <v>41</v>
      </c>
      <c r="E46" s="3">
        <v>1</v>
      </c>
      <c r="F46" s="3">
        <v>12000</v>
      </c>
      <c r="G46" s="23">
        <v>12000</v>
      </c>
      <c r="J46" s="3" t="str" cm="1">
        <f t="array" ref="J46">_xlfn.IFS(F8&gt;=52000,"High",F8&gt;=21500,"Medium",F8&lt;21500,"low")</f>
        <v>low</v>
      </c>
      <c r="K46" s="3" t="str" cm="1">
        <f t="array" ref="K46">_xlfn.IFS(G18&gt;=55000,"High",G18&gt;=900,"Medium",G18&lt;=900,"Low")</f>
        <v>Medium</v>
      </c>
    </row>
    <row r="47" spans="1:11" x14ac:dyDescent="0.3">
      <c r="A47" s="22">
        <v>44</v>
      </c>
      <c r="B47" s="4">
        <v>45679</v>
      </c>
      <c r="C47" s="3" t="s">
        <v>62</v>
      </c>
      <c r="D47" s="3" t="s">
        <v>46</v>
      </c>
      <c r="E47" s="3">
        <v>1</v>
      </c>
      <c r="F47" s="3">
        <v>2650</v>
      </c>
      <c r="G47" s="23">
        <v>1300</v>
      </c>
      <c r="J47" s="3" t="str" cm="1">
        <f t="array" ref="J47">_xlfn.IFS(F9&gt;=52000,"High",F9&gt;=21500,"Medium",F9&lt;21500,"low")</f>
        <v>low</v>
      </c>
      <c r="K47" s="3" t="str" cm="1">
        <f t="array" ref="K47">_xlfn.IFS(G19&gt;=55000,"High",G19&gt;=900,"Medium",G19&lt;=900,"Low")</f>
        <v>Low</v>
      </c>
    </row>
    <row r="48" spans="1:11" x14ac:dyDescent="0.3">
      <c r="A48" s="22">
        <v>45</v>
      </c>
      <c r="B48" s="4">
        <v>45679</v>
      </c>
      <c r="C48" s="3" t="s">
        <v>63</v>
      </c>
      <c r="D48" s="3" t="s">
        <v>39</v>
      </c>
      <c r="E48" s="3">
        <v>2</v>
      </c>
      <c r="F48" s="3">
        <v>15300</v>
      </c>
      <c r="G48" s="23">
        <v>5300</v>
      </c>
      <c r="J48" s="3" t="str" cm="1">
        <f t="array" ref="J48">_xlfn.IFS(F10&gt;=52000,"High",F10&gt;=21500,"Medium",F10&lt;21500,"low")</f>
        <v>low</v>
      </c>
      <c r="K48" s="3" t="str" cm="1">
        <f t="array" ref="K48">_xlfn.IFS(G20&gt;=55000,"High",G20&gt;=900,"Medium",G20&lt;=900,"Low")</f>
        <v>Low</v>
      </c>
    </row>
    <row r="49" spans="1:11" x14ac:dyDescent="0.3">
      <c r="A49" s="22">
        <v>46</v>
      </c>
      <c r="B49" s="4">
        <v>45680</v>
      </c>
      <c r="C49" s="3" t="s">
        <v>64</v>
      </c>
      <c r="D49" s="3" t="s">
        <v>38</v>
      </c>
      <c r="E49" s="3">
        <v>1</v>
      </c>
      <c r="F49" s="3">
        <v>4185</v>
      </c>
      <c r="G49" s="23">
        <v>740</v>
      </c>
      <c r="J49" s="3" t="str" cm="1">
        <f t="array" ref="J49">_xlfn.IFS(F11&gt;=52000,"High",F11&gt;=21500,"Medium",F11&lt;21500,"low")</f>
        <v>low</v>
      </c>
      <c r="K49" s="3" t="str" cm="1">
        <f t="array" ref="K49">_xlfn.IFS(G21&gt;=55000,"High",G21&gt;=900,"Medium",G21&lt;=900,"Low")</f>
        <v>Medium</v>
      </c>
    </row>
    <row r="50" spans="1:11" x14ac:dyDescent="0.3">
      <c r="A50" s="22">
        <v>47</v>
      </c>
      <c r="B50" s="4">
        <v>45680</v>
      </c>
      <c r="C50" s="3" t="s">
        <v>65</v>
      </c>
      <c r="D50" s="3" t="s">
        <v>47</v>
      </c>
      <c r="E50" s="3">
        <v>4</v>
      </c>
      <c r="F50" s="3">
        <v>1900</v>
      </c>
      <c r="G50" s="23">
        <v>900</v>
      </c>
    </row>
    <row r="51" spans="1:11" x14ac:dyDescent="0.3">
      <c r="A51" s="22">
        <v>48</v>
      </c>
      <c r="B51" s="4">
        <v>45681</v>
      </c>
      <c r="C51" s="3" t="s">
        <v>66</v>
      </c>
      <c r="D51" s="3" t="s">
        <v>43</v>
      </c>
      <c r="E51" s="3">
        <v>1</v>
      </c>
      <c r="F51" s="3">
        <v>1580</v>
      </c>
      <c r="G51" s="23">
        <v>580</v>
      </c>
    </row>
    <row r="52" spans="1:11" x14ac:dyDescent="0.3">
      <c r="A52" s="22">
        <v>49</v>
      </c>
      <c r="B52" s="4">
        <v>45681</v>
      </c>
      <c r="C52" s="3" t="s">
        <v>67</v>
      </c>
      <c r="D52" s="3" t="s">
        <v>40</v>
      </c>
      <c r="E52" s="3">
        <v>1</v>
      </c>
      <c r="F52" s="3">
        <v>17500</v>
      </c>
      <c r="G52" s="23">
        <v>17500</v>
      </c>
    </row>
    <row r="53" spans="1:11" x14ac:dyDescent="0.3">
      <c r="A53" s="22">
        <v>50</v>
      </c>
      <c r="B53" s="4">
        <v>45682</v>
      </c>
      <c r="C53" s="3" t="s">
        <v>68</v>
      </c>
      <c r="D53" s="3" t="s">
        <v>35</v>
      </c>
      <c r="E53" s="3">
        <v>1</v>
      </c>
      <c r="F53" s="3">
        <v>21500</v>
      </c>
      <c r="G53" s="23">
        <v>21500</v>
      </c>
    </row>
    <row r="54" spans="1:11" x14ac:dyDescent="0.3">
      <c r="A54" s="22">
        <v>51</v>
      </c>
      <c r="B54" s="4">
        <v>45682</v>
      </c>
      <c r="C54" s="3" t="s">
        <v>69</v>
      </c>
      <c r="D54" s="3" t="s">
        <v>45</v>
      </c>
      <c r="E54" s="3">
        <v>3</v>
      </c>
      <c r="F54" s="3">
        <v>3750</v>
      </c>
      <c r="G54" s="23">
        <v>2250</v>
      </c>
    </row>
    <row r="55" spans="1:11" x14ac:dyDescent="0.3">
      <c r="A55" s="22">
        <v>52</v>
      </c>
      <c r="B55" s="4">
        <v>45683</v>
      </c>
      <c r="C55" s="3" t="s">
        <v>70</v>
      </c>
      <c r="D55" s="3" t="s">
        <v>39</v>
      </c>
      <c r="E55" s="3">
        <v>1</v>
      </c>
      <c r="F55" s="3">
        <v>11600</v>
      </c>
      <c r="G55" s="23">
        <v>1600</v>
      </c>
    </row>
    <row r="56" spans="1:11" x14ac:dyDescent="0.3">
      <c r="A56" s="22">
        <v>53</v>
      </c>
      <c r="B56" s="4">
        <v>45683</v>
      </c>
      <c r="C56" s="3" t="s">
        <v>71</v>
      </c>
      <c r="D56" s="3" t="s">
        <v>37</v>
      </c>
      <c r="E56" s="3">
        <v>1</v>
      </c>
      <c r="F56" s="3">
        <v>14900</v>
      </c>
      <c r="G56" s="23">
        <v>4900</v>
      </c>
    </row>
    <row r="57" spans="1:11" x14ac:dyDescent="0.3">
      <c r="A57" s="22">
        <v>54</v>
      </c>
      <c r="B57" s="4">
        <v>45684</v>
      </c>
      <c r="C57" s="3" t="s">
        <v>72</v>
      </c>
      <c r="D57" s="3" t="s">
        <v>38</v>
      </c>
      <c r="E57" s="3">
        <v>1</v>
      </c>
      <c r="F57" s="3">
        <v>16600</v>
      </c>
      <c r="G57" s="23">
        <v>1600</v>
      </c>
    </row>
    <row r="58" spans="1:11" x14ac:dyDescent="0.3">
      <c r="A58" s="22">
        <v>55</v>
      </c>
      <c r="B58" s="4">
        <v>45684</v>
      </c>
      <c r="C58" s="3" t="s">
        <v>73</v>
      </c>
      <c r="D58" s="3" t="s">
        <v>35</v>
      </c>
      <c r="E58" s="3">
        <v>2</v>
      </c>
      <c r="F58" s="3">
        <v>14900</v>
      </c>
      <c r="G58" s="23">
        <v>4900</v>
      </c>
    </row>
    <row r="59" spans="1:11" x14ac:dyDescent="0.3">
      <c r="A59" s="22">
        <v>56</v>
      </c>
      <c r="B59" s="4">
        <v>45685</v>
      </c>
      <c r="C59" s="3" t="s">
        <v>74</v>
      </c>
      <c r="D59" s="3" t="s">
        <v>40</v>
      </c>
      <c r="E59" s="3">
        <v>1</v>
      </c>
      <c r="F59" s="6">
        <v>16800</v>
      </c>
      <c r="G59" s="23">
        <v>16800</v>
      </c>
    </row>
    <row r="60" spans="1:11" x14ac:dyDescent="0.3">
      <c r="A60" s="22">
        <v>57</v>
      </c>
      <c r="B60" s="4">
        <v>45685</v>
      </c>
      <c r="C60" s="3" t="s">
        <v>75</v>
      </c>
      <c r="D60" s="3" t="s">
        <v>43</v>
      </c>
      <c r="E60" s="3">
        <v>2</v>
      </c>
      <c r="F60" s="3">
        <v>2520</v>
      </c>
      <c r="G60" s="23">
        <v>1040</v>
      </c>
    </row>
    <row r="61" spans="1:11" x14ac:dyDescent="0.3">
      <c r="A61" s="22">
        <v>58</v>
      </c>
      <c r="B61" s="4">
        <v>45686</v>
      </c>
      <c r="C61" s="3" t="s">
        <v>76</v>
      </c>
      <c r="D61" s="3" t="s">
        <v>47</v>
      </c>
      <c r="E61" s="3">
        <v>3</v>
      </c>
      <c r="F61" s="3">
        <v>1820</v>
      </c>
      <c r="G61" s="23">
        <v>820</v>
      </c>
    </row>
    <row r="62" spans="1:11" x14ac:dyDescent="0.3">
      <c r="A62" s="22">
        <v>59</v>
      </c>
      <c r="B62" s="4">
        <v>45686</v>
      </c>
      <c r="C62" s="3" t="s">
        <v>77</v>
      </c>
      <c r="D62" s="3" t="s">
        <v>41</v>
      </c>
      <c r="E62" s="3">
        <v>1</v>
      </c>
      <c r="F62" s="3">
        <v>3200</v>
      </c>
      <c r="G62" s="23">
        <v>600</v>
      </c>
    </row>
    <row r="63" spans="1:11" x14ac:dyDescent="0.3">
      <c r="A63" s="22">
        <v>60</v>
      </c>
      <c r="B63" s="4">
        <v>45687</v>
      </c>
      <c r="C63" s="3" t="s">
        <v>78</v>
      </c>
      <c r="D63" s="3" t="s">
        <v>46</v>
      </c>
      <c r="E63" s="3">
        <v>2</v>
      </c>
      <c r="F63" s="3">
        <v>13500</v>
      </c>
      <c r="G63" s="23">
        <v>53000</v>
      </c>
    </row>
    <row r="64" spans="1:11" x14ac:dyDescent="0.3">
      <c r="A64" s="22">
        <v>61</v>
      </c>
      <c r="B64" s="4">
        <v>45687</v>
      </c>
      <c r="C64" s="3" t="s">
        <v>79</v>
      </c>
      <c r="D64" s="3" t="s">
        <v>36</v>
      </c>
      <c r="E64" s="3">
        <v>1</v>
      </c>
      <c r="F64" s="3">
        <v>3160</v>
      </c>
      <c r="G64" s="23">
        <v>480</v>
      </c>
    </row>
    <row r="65" spans="1:7" x14ac:dyDescent="0.3">
      <c r="A65" s="22">
        <v>62</v>
      </c>
      <c r="B65" s="4">
        <v>45689</v>
      </c>
      <c r="C65" s="3" t="s">
        <v>80</v>
      </c>
      <c r="D65" s="3" t="s">
        <v>48</v>
      </c>
      <c r="E65" s="3">
        <v>3</v>
      </c>
      <c r="F65" s="3">
        <v>1780</v>
      </c>
      <c r="G65" s="23">
        <v>780</v>
      </c>
    </row>
    <row r="66" spans="1:7" x14ac:dyDescent="0.3">
      <c r="A66" s="22">
        <v>63</v>
      </c>
      <c r="B66" s="4">
        <v>45689</v>
      </c>
      <c r="C66" s="3" t="s">
        <v>81</v>
      </c>
      <c r="D66" s="3" t="s">
        <v>39</v>
      </c>
      <c r="E66" s="3">
        <v>1</v>
      </c>
      <c r="F66" s="3">
        <v>15200</v>
      </c>
      <c r="G66" s="23">
        <v>5200</v>
      </c>
    </row>
    <row r="67" spans="1:7" x14ac:dyDescent="0.3">
      <c r="A67" s="22">
        <v>64</v>
      </c>
      <c r="B67" s="4">
        <v>45690</v>
      </c>
      <c r="C67" s="3" t="s">
        <v>82</v>
      </c>
      <c r="D67" s="3" t="s">
        <v>38</v>
      </c>
      <c r="E67" s="3">
        <v>1</v>
      </c>
      <c r="F67" s="3">
        <v>1580</v>
      </c>
      <c r="G67" s="23">
        <v>580</v>
      </c>
    </row>
    <row r="68" spans="1:7" x14ac:dyDescent="0.3">
      <c r="A68" s="22">
        <v>65</v>
      </c>
      <c r="B68" s="4">
        <v>45690</v>
      </c>
      <c r="C68" s="3" t="s">
        <v>83</v>
      </c>
      <c r="D68" s="3" t="s">
        <v>40</v>
      </c>
      <c r="E68" s="3">
        <v>1</v>
      </c>
      <c r="F68" s="34">
        <v>15800</v>
      </c>
      <c r="G68" s="35">
        <v>15800</v>
      </c>
    </row>
    <row r="69" spans="1:7" x14ac:dyDescent="0.3">
      <c r="A69" s="22">
        <v>66</v>
      </c>
      <c r="B69" s="4">
        <v>45691</v>
      </c>
      <c r="C69" s="3" t="s">
        <v>84</v>
      </c>
      <c r="D69" s="3" t="s">
        <v>35</v>
      </c>
      <c r="E69" s="3">
        <v>1</v>
      </c>
      <c r="F69" s="36">
        <v>15800</v>
      </c>
      <c r="G69" s="35">
        <v>760</v>
      </c>
    </row>
    <row r="70" spans="1:7" x14ac:dyDescent="0.3">
      <c r="A70" s="22">
        <v>67</v>
      </c>
      <c r="B70" s="4">
        <v>45691</v>
      </c>
      <c r="C70" s="3" t="s">
        <v>85</v>
      </c>
      <c r="D70" s="3" t="s">
        <v>47</v>
      </c>
      <c r="E70" s="3">
        <v>4</v>
      </c>
      <c r="F70" s="34">
        <v>2850</v>
      </c>
      <c r="G70" s="35">
        <v>1700</v>
      </c>
    </row>
    <row r="71" spans="1:7" x14ac:dyDescent="0.3">
      <c r="A71" s="22">
        <v>68</v>
      </c>
      <c r="B71" s="4">
        <v>45692</v>
      </c>
      <c r="C71" s="3" t="s">
        <v>86</v>
      </c>
      <c r="D71" s="3" t="s">
        <v>43</v>
      </c>
      <c r="E71" s="3">
        <v>2</v>
      </c>
      <c r="F71" s="34">
        <v>14000</v>
      </c>
      <c r="G71" s="35">
        <v>14000</v>
      </c>
    </row>
    <row r="72" spans="1:7" x14ac:dyDescent="0.3">
      <c r="A72" s="22">
        <v>69</v>
      </c>
      <c r="B72" s="4">
        <v>45692</v>
      </c>
      <c r="C72" s="3" t="s">
        <v>87</v>
      </c>
      <c r="D72" s="3" t="s">
        <v>41</v>
      </c>
      <c r="E72" s="3">
        <v>1</v>
      </c>
      <c r="F72" s="34">
        <v>11150</v>
      </c>
      <c r="G72" s="35">
        <v>1150</v>
      </c>
    </row>
    <row r="73" spans="1:7" x14ac:dyDescent="0.3">
      <c r="A73" s="22">
        <v>70</v>
      </c>
      <c r="B73" s="4">
        <v>45693</v>
      </c>
      <c r="C73" s="3" t="s">
        <v>88</v>
      </c>
      <c r="D73" s="3" t="s">
        <v>46</v>
      </c>
      <c r="E73" s="3">
        <v>1</v>
      </c>
      <c r="F73" s="34">
        <v>17500</v>
      </c>
      <c r="G73" s="35">
        <v>17500</v>
      </c>
    </row>
    <row r="74" spans="1:7" x14ac:dyDescent="0.3">
      <c r="A74" s="22">
        <v>71</v>
      </c>
      <c r="B74" s="4">
        <v>45693</v>
      </c>
      <c r="C74" s="3" t="s">
        <v>89</v>
      </c>
      <c r="D74" s="3" t="s">
        <v>35</v>
      </c>
      <c r="E74" s="3">
        <v>1</v>
      </c>
      <c r="F74" s="36">
        <v>22500</v>
      </c>
      <c r="G74" s="35">
        <v>22500</v>
      </c>
    </row>
    <row r="75" spans="1:7" x14ac:dyDescent="0.3">
      <c r="A75" s="22">
        <v>72</v>
      </c>
      <c r="B75" s="4">
        <v>45694</v>
      </c>
      <c r="C75" s="3" t="s">
        <v>90</v>
      </c>
      <c r="D75" s="3" t="s">
        <v>45</v>
      </c>
      <c r="E75" s="3">
        <v>1</v>
      </c>
      <c r="F75" s="34">
        <v>2720</v>
      </c>
      <c r="G75" s="35">
        <v>1440</v>
      </c>
    </row>
    <row r="76" spans="1:7" x14ac:dyDescent="0.3">
      <c r="A76" s="22">
        <v>73</v>
      </c>
      <c r="B76" s="4">
        <v>45694</v>
      </c>
      <c r="C76" s="3" t="s">
        <v>91</v>
      </c>
      <c r="D76" s="3" t="s">
        <v>39</v>
      </c>
      <c r="E76" s="3">
        <v>2</v>
      </c>
      <c r="F76" s="34">
        <v>11550</v>
      </c>
      <c r="G76" s="35">
        <v>1550</v>
      </c>
    </row>
    <row r="77" spans="1:7" x14ac:dyDescent="0.3">
      <c r="A77" s="22">
        <v>74</v>
      </c>
      <c r="B77" s="4">
        <v>45695</v>
      </c>
      <c r="C77" s="3" t="s">
        <v>92</v>
      </c>
      <c r="D77" s="3" t="s">
        <v>37</v>
      </c>
      <c r="E77" s="3">
        <v>1</v>
      </c>
      <c r="F77" s="34">
        <v>15100</v>
      </c>
      <c r="G77" s="35">
        <v>5100</v>
      </c>
    </row>
    <row r="78" spans="1:7" x14ac:dyDescent="0.3">
      <c r="A78" s="22">
        <v>75</v>
      </c>
      <c r="B78" s="4">
        <v>45695</v>
      </c>
      <c r="C78" s="3" t="s">
        <v>93</v>
      </c>
      <c r="D78" s="3" t="s">
        <v>38</v>
      </c>
      <c r="E78" s="3">
        <v>1</v>
      </c>
      <c r="F78" s="34">
        <v>2560</v>
      </c>
      <c r="G78" s="35">
        <v>1120</v>
      </c>
    </row>
    <row r="79" spans="1:7" x14ac:dyDescent="0.3">
      <c r="A79" s="22">
        <v>76</v>
      </c>
      <c r="B79" s="4">
        <v>45696</v>
      </c>
      <c r="C79" s="3" t="s">
        <v>94</v>
      </c>
      <c r="D79" s="3" t="s">
        <v>40</v>
      </c>
      <c r="E79" s="3">
        <v>2</v>
      </c>
      <c r="F79" s="34">
        <v>1900</v>
      </c>
      <c r="G79" s="35">
        <v>900</v>
      </c>
    </row>
    <row r="80" spans="1:7" x14ac:dyDescent="0.3">
      <c r="A80" s="22">
        <v>77</v>
      </c>
      <c r="B80" s="4">
        <v>45696</v>
      </c>
      <c r="C80" s="3" t="s">
        <v>95</v>
      </c>
      <c r="D80" s="3" t="s">
        <v>43</v>
      </c>
      <c r="E80" s="3">
        <v>1</v>
      </c>
      <c r="F80" s="34">
        <v>3180</v>
      </c>
      <c r="G80" s="35">
        <v>540</v>
      </c>
    </row>
    <row r="81" spans="1:7" x14ac:dyDescent="0.3">
      <c r="A81" s="22">
        <v>78</v>
      </c>
      <c r="B81" s="4">
        <v>45697</v>
      </c>
      <c r="C81" s="3" t="s">
        <v>96</v>
      </c>
      <c r="D81" s="3" t="s">
        <v>48</v>
      </c>
      <c r="E81" s="3">
        <v>3</v>
      </c>
      <c r="F81" s="34">
        <v>54000</v>
      </c>
      <c r="G81" s="35">
        <v>54000</v>
      </c>
    </row>
    <row r="82" spans="1:7" x14ac:dyDescent="0.3">
      <c r="A82" s="22">
        <v>79</v>
      </c>
      <c r="B82" s="4">
        <v>45697</v>
      </c>
      <c r="C82" s="3" t="s">
        <v>97</v>
      </c>
      <c r="D82" s="3" t="s">
        <v>36</v>
      </c>
      <c r="E82" s="3">
        <v>1</v>
      </c>
      <c r="F82" s="34">
        <v>5200</v>
      </c>
      <c r="G82" s="35">
        <v>1000</v>
      </c>
    </row>
    <row r="83" spans="1:7" x14ac:dyDescent="0.3">
      <c r="A83" s="22">
        <v>80</v>
      </c>
      <c r="B83" s="4">
        <v>45698</v>
      </c>
      <c r="C83" s="3" t="s">
        <v>98</v>
      </c>
      <c r="D83" s="3" t="s">
        <v>47</v>
      </c>
      <c r="E83" s="3">
        <v>5</v>
      </c>
      <c r="F83" s="34">
        <v>16200</v>
      </c>
      <c r="G83" s="35">
        <v>16200</v>
      </c>
    </row>
    <row r="84" spans="1:7" x14ac:dyDescent="0.3">
      <c r="A84" s="22">
        <v>81</v>
      </c>
      <c r="B84" s="4">
        <v>45698</v>
      </c>
      <c r="C84" s="3" t="s">
        <v>99</v>
      </c>
      <c r="D84" s="3" t="s">
        <v>35</v>
      </c>
      <c r="E84" s="3">
        <v>1</v>
      </c>
      <c r="F84" s="34">
        <v>13200</v>
      </c>
      <c r="G84" s="35">
        <v>13200</v>
      </c>
    </row>
    <row r="85" spans="1:7" x14ac:dyDescent="0.3">
      <c r="A85" s="22">
        <v>82</v>
      </c>
      <c r="B85" s="4">
        <v>45699</v>
      </c>
      <c r="C85" s="3" t="s">
        <v>100</v>
      </c>
      <c r="D85" s="3" t="s">
        <v>41</v>
      </c>
      <c r="E85" s="3">
        <v>1</v>
      </c>
      <c r="F85" s="34">
        <v>1100</v>
      </c>
      <c r="G85" s="35">
        <v>1100</v>
      </c>
    </row>
    <row r="86" spans="1:7" x14ac:dyDescent="0.3">
      <c r="A86" s="22">
        <v>83</v>
      </c>
      <c r="B86" s="4">
        <v>45699</v>
      </c>
      <c r="C86" s="3" t="s">
        <v>98</v>
      </c>
      <c r="D86" s="3" t="s">
        <v>46</v>
      </c>
      <c r="E86" s="3">
        <v>1</v>
      </c>
      <c r="F86" s="34">
        <v>24800</v>
      </c>
      <c r="G86" s="35">
        <v>1700</v>
      </c>
    </row>
    <row r="87" spans="1:7" x14ac:dyDescent="0.3">
      <c r="A87" s="22">
        <v>84</v>
      </c>
      <c r="B87" s="4">
        <v>45700</v>
      </c>
      <c r="C87" s="3" t="s">
        <v>99</v>
      </c>
      <c r="D87" s="3" t="s">
        <v>38</v>
      </c>
      <c r="E87" s="3">
        <v>2</v>
      </c>
      <c r="F87" s="36">
        <v>14000</v>
      </c>
      <c r="G87" s="35">
        <v>14000</v>
      </c>
    </row>
    <row r="88" spans="1:7" x14ac:dyDescent="0.3">
      <c r="A88" s="22">
        <v>85</v>
      </c>
      <c r="B88" s="4">
        <v>45700</v>
      </c>
      <c r="C88" s="3" t="s">
        <v>100</v>
      </c>
      <c r="D88" s="3" t="s">
        <v>39</v>
      </c>
      <c r="E88" s="3">
        <v>1</v>
      </c>
      <c r="F88" s="34">
        <v>11150</v>
      </c>
      <c r="G88" s="35">
        <v>1150</v>
      </c>
    </row>
    <row r="89" spans="1:7" x14ac:dyDescent="0.3">
      <c r="A89" s="22">
        <v>86</v>
      </c>
      <c r="B89" s="4">
        <v>45701</v>
      </c>
      <c r="C89" s="3" t="s">
        <v>101</v>
      </c>
      <c r="D89" s="3" t="s">
        <v>40</v>
      </c>
      <c r="E89" s="3">
        <v>3</v>
      </c>
      <c r="F89" s="34">
        <v>17500</v>
      </c>
      <c r="G89" s="35">
        <v>17500</v>
      </c>
    </row>
    <row r="90" spans="1:7" x14ac:dyDescent="0.3">
      <c r="A90" s="22">
        <v>87</v>
      </c>
      <c r="B90" s="4">
        <v>45701</v>
      </c>
      <c r="C90" s="3" t="s">
        <v>102</v>
      </c>
      <c r="D90" s="3" t="s">
        <v>35</v>
      </c>
      <c r="E90" s="3">
        <v>1</v>
      </c>
      <c r="F90" s="36">
        <v>720</v>
      </c>
      <c r="G90" s="35">
        <v>1440</v>
      </c>
    </row>
    <row r="91" spans="1:7" x14ac:dyDescent="0.3">
      <c r="A91" s="22">
        <v>88</v>
      </c>
      <c r="B91" s="4">
        <v>45702</v>
      </c>
      <c r="C91" s="3" t="s">
        <v>103</v>
      </c>
      <c r="D91" s="3" t="s">
        <v>45</v>
      </c>
      <c r="E91" s="3">
        <v>1</v>
      </c>
      <c r="F91" s="34">
        <v>1550</v>
      </c>
      <c r="G91" s="37">
        <v>1550</v>
      </c>
    </row>
    <row r="92" spans="1:7" x14ac:dyDescent="0.3">
      <c r="A92" s="22">
        <v>89</v>
      </c>
      <c r="B92" s="4">
        <v>45702</v>
      </c>
      <c r="C92" s="3" t="s">
        <v>104</v>
      </c>
      <c r="D92" s="3" t="s">
        <v>47</v>
      </c>
      <c r="E92" s="3">
        <v>2</v>
      </c>
      <c r="F92" s="34">
        <v>5100</v>
      </c>
      <c r="G92" s="37">
        <v>5100</v>
      </c>
    </row>
    <row r="93" spans="1:7" x14ac:dyDescent="0.3">
      <c r="A93" s="22">
        <v>90</v>
      </c>
      <c r="B93" s="4">
        <v>45703</v>
      </c>
      <c r="C93" s="3" t="s">
        <v>105</v>
      </c>
      <c r="D93" s="3" t="s">
        <v>43</v>
      </c>
      <c r="E93" s="3">
        <v>1</v>
      </c>
      <c r="F93" s="34">
        <v>2260</v>
      </c>
      <c r="G93" s="35">
        <v>1120</v>
      </c>
    </row>
    <row r="94" spans="1:7" x14ac:dyDescent="0.3">
      <c r="A94" s="22">
        <v>91</v>
      </c>
      <c r="B94" s="4">
        <v>45703</v>
      </c>
      <c r="C94" s="3" t="s">
        <v>106</v>
      </c>
      <c r="D94" s="3" t="s">
        <v>41</v>
      </c>
      <c r="E94" s="3">
        <v>1</v>
      </c>
      <c r="F94" s="34">
        <v>900</v>
      </c>
      <c r="G94" s="37">
        <v>900</v>
      </c>
    </row>
    <row r="95" spans="1:7" x14ac:dyDescent="0.3">
      <c r="A95" s="22">
        <v>92</v>
      </c>
      <c r="B95" s="4">
        <v>45704</v>
      </c>
      <c r="C95" s="3" t="s">
        <v>107</v>
      </c>
      <c r="D95" s="3" t="s">
        <v>37</v>
      </c>
      <c r="E95" s="3">
        <v>1</v>
      </c>
      <c r="F95" s="34">
        <v>180</v>
      </c>
      <c r="G95" s="37">
        <v>540</v>
      </c>
    </row>
    <row r="96" spans="1:7" x14ac:dyDescent="0.3">
      <c r="A96" s="22">
        <v>93</v>
      </c>
      <c r="B96" s="4">
        <v>45704</v>
      </c>
      <c r="C96" s="3" t="s">
        <v>108</v>
      </c>
      <c r="D96" s="3" t="s">
        <v>35</v>
      </c>
      <c r="E96" s="3">
        <v>1</v>
      </c>
      <c r="F96" s="34">
        <v>54000</v>
      </c>
      <c r="G96" s="37">
        <v>54000</v>
      </c>
    </row>
    <row r="97" spans="1:7" x14ac:dyDescent="0.3">
      <c r="A97" s="22">
        <v>94</v>
      </c>
      <c r="B97" s="4">
        <v>45705</v>
      </c>
      <c r="C97" s="3" t="s">
        <v>109</v>
      </c>
      <c r="D97" s="3" t="s">
        <v>48</v>
      </c>
      <c r="E97" s="3">
        <v>2</v>
      </c>
      <c r="F97" s="34">
        <v>5200</v>
      </c>
      <c r="G97" s="37">
        <v>1000</v>
      </c>
    </row>
    <row r="98" spans="1:7" x14ac:dyDescent="0.3">
      <c r="A98" s="22">
        <v>95</v>
      </c>
      <c r="B98" s="4">
        <v>45705</v>
      </c>
      <c r="C98" s="3" t="s">
        <v>110</v>
      </c>
      <c r="D98" s="3" t="s">
        <v>39</v>
      </c>
      <c r="E98" s="3">
        <v>3</v>
      </c>
      <c r="F98" s="34">
        <v>16200</v>
      </c>
      <c r="G98" s="37">
        <v>16200</v>
      </c>
    </row>
    <row r="99" spans="1:7" x14ac:dyDescent="0.3">
      <c r="A99" s="22">
        <v>96</v>
      </c>
      <c r="B99" s="4">
        <v>45706</v>
      </c>
      <c r="C99" s="3" t="s">
        <v>111</v>
      </c>
      <c r="D99" s="3" t="s">
        <v>46</v>
      </c>
      <c r="E99" s="3">
        <v>2</v>
      </c>
      <c r="F99" s="34">
        <v>13200</v>
      </c>
      <c r="G99" s="37">
        <v>13200</v>
      </c>
    </row>
    <row r="100" spans="1:7" x14ac:dyDescent="0.3">
      <c r="A100" s="22">
        <v>97</v>
      </c>
      <c r="B100" s="4">
        <v>45706</v>
      </c>
      <c r="C100" s="3" t="s">
        <v>112</v>
      </c>
      <c r="D100" s="3" t="s">
        <v>38</v>
      </c>
      <c r="E100" s="3">
        <v>1</v>
      </c>
      <c r="F100" s="34">
        <v>1100</v>
      </c>
      <c r="G100" s="37">
        <v>1100</v>
      </c>
    </row>
    <row r="101" spans="1:7" x14ac:dyDescent="0.3">
      <c r="A101" s="22">
        <v>98</v>
      </c>
      <c r="B101" s="4">
        <v>45707</v>
      </c>
      <c r="C101" s="3" t="s">
        <v>113</v>
      </c>
      <c r="D101" s="3" t="s">
        <v>40</v>
      </c>
      <c r="E101" s="3">
        <v>1</v>
      </c>
      <c r="F101" s="34">
        <v>4800</v>
      </c>
      <c r="G101" s="37">
        <v>9600</v>
      </c>
    </row>
    <row r="102" spans="1:7" x14ac:dyDescent="0.3">
      <c r="A102" s="22">
        <v>99</v>
      </c>
      <c r="B102" s="4">
        <v>45707</v>
      </c>
      <c r="C102" s="3" t="s">
        <v>114</v>
      </c>
      <c r="D102" s="3" t="s">
        <v>47</v>
      </c>
      <c r="E102" s="3">
        <v>4</v>
      </c>
      <c r="F102" s="34">
        <v>4205</v>
      </c>
      <c r="G102" s="37">
        <v>820</v>
      </c>
    </row>
    <row r="103" spans="1:7" x14ac:dyDescent="0.3">
      <c r="A103" s="24">
        <v>100</v>
      </c>
      <c r="B103" s="32">
        <v>45708</v>
      </c>
      <c r="C103" s="13" t="s">
        <v>115</v>
      </c>
      <c r="D103" s="13" t="s">
        <v>35</v>
      </c>
      <c r="E103" s="13">
        <v>1</v>
      </c>
      <c r="F103" s="38">
        <v>17800</v>
      </c>
      <c r="G103" s="39">
        <v>17800</v>
      </c>
    </row>
    <row r="104" spans="1:7" x14ac:dyDescent="0.3">
      <c r="B104" s="4"/>
    </row>
  </sheetData>
  <mergeCells count="1">
    <mergeCell ref="A1:XFD1"/>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E914D-9EB8-45AB-9DAC-7B2332F9C7FE}">
  <dimension ref="A2:Q40"/>
  <sheetViews>
    <sheetView topLeftCell="B12" workbookViewId="0">
      <selection activeCell="C27" sqref="C27"/>
    </sheetView>
  </sheetViews>
  <sheetFormatPr defaultRowHeight="14.4" x14ac:dyDescent="0.3"/>
  <cols>
    <col min="1" max="1" width="9.109375" customWidth="1"/>
    <col min="2" max="2" width="14" customWidth="1"/>
    <col min="3" max="3" width="17" customWidth="1"/>
    <col min="4" max="4" width="15.109375" customWidth="1"/>
    <col min="5" max="5" width="12.44140625" customWidth="1"/>
    <col min="6" max="6" width="12.21875" customWidth="1"/>
    <col min="7" max="7" width="15" customWidth="1"/>
    <col min="8" max="8" width="12.109375" customWidth="1"/>
    <col min="11" max="11" width="15.44140625" customWidth="1"/>
    <col min="12" max="12" width="13.21875" customWidth="1"/>
    <col min="13" max="13" width="13.6640625" customWidth="1"/>
    <col min="14" max="14" width="9.77734375" customWidth="1"/>
    <col min="15" max="15" width="9.88671875" customWidth="1"/>
    <col min="16" max="16" width="17.44140625" customWidth="1"/>
    <col min="17" max="17" width="12.77734375" customWidth="1"/>
  </cols>
  <sheetData>
    <row r="2" spans="1:16" ht="15" x14ac:dyDescent="0.3">
      <c r="L2" s="42" t="s">
        <v>123</v>
      </c>
    </row>
    <row r="3" spans="1:16" x14ac:dyDescent="0.3">
      <c r="A3" s="29" t="s">
        <v>0</v>
      </c>
      <c r="B3" s="30" t="s">
        <v>1</v>
      </c>
      <c r="C3" s="30" t="s">
        <v>2</v>
      </c>
      <c r="D3" s="30" t="s">
        <v>116</v>
      </c>
      <c r="E3" s="30" t="s">
        <v>117</v>
      </c>
      <c r="F3" s="30" t="s">
        <v>3</v>
      </c>
      <c r="G3" s="31" t="s">
        <v>4</v>
      </c>
    </row>
    <row r="4" spans="1:16" x14ac:dyDescent="0.3">
      <c r="A4" s="22">
        <v>1</v>
      </c>
      <c r="B4" s="4">
        <v>45658</v>
      </c>
      <c r="C4" s="3" t="s">
        <v>5</v>
      </c>
      <c r="D4" s="3" t="s">
        <v>35</v>
      </c>
      <c r="E4" s="3">
        <v>1</v>
      </c>
      <c r="F4" s="3">
        <v>15000</v>
      </c>
      <c r="G4" s="23">
        <v>15000</v>
      </c>
      <c r="K4" s="41" t="s">
        <v>116</v>
      </c>
      <c r="L4" s="41" t="s">
        <v>117</v>
      </c>
      <c r="M4" s="41" t="s">
        <v>3</v>
      </c>
      <c r="N4" s="12"/>
      <c r="O4" s="33"/>
      <c r="P4" s="33"/>
    </row>
    <row r="5" spans="1:16" x14ac:dyDescent="0.3">
      <c r="A5" s="22">
        <v>2</v>
      </c>
      <c r="B5" s="4">
        <v>45658</v>
      </c>
      <c r="C5" s="3" t="s">
        <v>6</v>
      </c>
      <c r="D5" s="3" t="s">
        <v>36</v>
      </c>
      <c r="E5" s="3">
        <v>1</v>
      </c>
      <c r="F5" s="3">
        <v>52000</v>
      </c>
      <c r="G5" s="23">
        <v>52000</v>
      </c>
      <c r="K5" s="15" t="s">
        <v>35</v>
      </c>
      <c r="L5" s="15">
        <v>1</v>
      </c>
      <c r="M5" s="15">
        <f>VLOOKUP(L5,A3:G23,6,FALSE)</f>
        <v>15000</v>
      </c>
    </row>
    <row r="6" spans="1:16" x14ac:dyDescent="0.3">
      <c r="A6" s="22">
        <v>3</v>
      </c>
      <c r="B6" s="4">
        <v>45659</v>
      </c>
      <c r="C6" s="3" t="s">
        <v>7</v>
      </c>
      <c r="D6" s="3" t="s">
        <v>37</v>
      </c>
      <c r="E6" s="3">
        <v>2</v>
      </c>
      <c r="F6" s="3">
        <v>15000</v>
      </c>
      <c r="G6" s="23">
        <v>3000</v>
      </c>
      <c r="K6" s="15" t="s">
        <v>36</v>
      </c>
      <c r="L6" s="15">
        <v>1</v>
      </c>
      <c r="M6" s="15">
        <f>VLOOKUP(L6,A4:G24,6,FALSE)</f>
        <v>15000</v>
      </c>
    </row>
    <row r="7" spans="1:16" x14ac:dyDescent="0.3">
      <c r="A7" s="22">
        <v>4</v>
      </c>
      <c r="B7" s="4">
        <v>45659</v>
      </c>
      <c r="C7" s="3" t="s">
        <v>8</v>
      </c>
      <c r="D7" s="3" t="s">
        <v>38</v>
      </c>
      <c r="E7" s="3">
        <v>1</v>
      </c>
      <c r="F7" s="3">
        <v>4500</v>
      </c>
      <c r="G7" s="23">
        <v>4500</v>
      </c>
      <c r="K7" s="15" t="s">
        <v>37</v>
      </c>
      <c r="L7" s="15">
        <v>2</v>
      </c>
      <c r="M7" s="15">
        <f>VLOOKUP(L7,A5:G25,6,FALSE)</f>
        <v>52000</v>
      </c>
    </row>
    <row r="8" spans="1:16" x14ac:dyDescent="0.3">
      <c r="A8" s="22">
        <v>5</v>
      </c>
      <c r="B8" s="4">
        <v>45660</v>
      </c>
      <c r="C8" s="3" t="s">
        <v>9</v>
      </c>
      <c r="D8" s="3" t="s">
        <v>39</v>
      </c>
      <c r="E8" s="3">
        <v>3</v>
      </c>
      <c r="F8" s="3">
        <v>700</v>
      </c>
      <c r="G8" s="23">
        <v>2100</v>
      </c>
      <c r="K8" s="15" t="s">
        <v>38</v>
      </c>
      <c r="L8" s="15">
        <v>1</v>
      </c>
      <c r="M8" s="15">
        <f>VLOOKUP(L8,A3:G23,6,FALSE)</f>
        <v>15000</v>
      </c>
    </row>
    <row r="9" spans="1:16" x14ac:dyDescent="0.3">
      <c r="A9" s="22">
        <v>6</v>
      </c>
      <c r="B9" s="4">
        <v>45660</v>
      </c>
      <c r="C9" s="3" t="s">
        <v>10</v>
      </c>
      <c r="D9" s="3" t="s">
        <v>40</v>
      </c>
      <c r="E9" s="3">
        <v>2</v>
      </c>
      <c r="F9" s="5">
        <v>500</v>
      </c>
      <c r="G9" s="23">
        <v>1000</v>
      </c>
      <c r="K9" s="15" t="s">
        <v>39</v>
      </c>
      <c r="L9" s="15">
        <v>3</v>
      </c>
      <c r="M9" s="15">
        <f>VLOOKUP(L9,A4:G24,6,FALSE)</f>
        <v>15000</v>
      </c>
    </row>
    <row r="10" spans="1:16" x14ac:dyDescent="0.3">
      <c r="A10" s="22">
        <v>7</v>
      </c>
      <c r="B10" s="4">
        <v>45661</v>
      </c>
      <c r="C10" s="3" t="s">
        <v>11</v>
      </c>
      <c r="D10" s="3" t="s">
        <v>41</v>
      </c>
      <c r="E10" s="3">
        <v>1</v>
      </c>
      <c r="F10" s="3">
        <v>12000</v>
      </c>
      <c r="G10" s="23">
        <v>12000</v>
      </c>
      <c r="K10" s="15" t="s">
        <v>40</v>
      </c>
      <c r="L10" s="15">
        <v>2</v>
      </c>
      <c r="M10" s="15">
        <f>VLOOKUP(L10,A5:G25,6,FALSE)</f>
        <v>52000</v>
      </c>
    </row>
    <row r="11" spans="1:16" x14ac:dyDescent="0.3">
      <c r="A11" s="22">
        <v>8</v>
      </c>
      <c r="B11" s="4">
        <v>45661</v>
      </c>
      <c r="C11" s="3" t="s">
        <v>12</v>
      </c>
      <c r="D11" s="3" t="s">
        <v>35</v>
      </c>
      <c r="E11" s="3">
        <v>1</v>
      </c>
      <c r="F11" s="3">
        <v>18000</v>
      </c>
      <c r="G11" s="23">
        <v>18000</v>
      </c>
    </row>
    <row r="12" spans="1:16" x14ac:dyDescent="0.3">
      <c r="A12" s="22">
        <v>9</v>
      </c>
      <c r="B12" s="4">
        <v>45662</v>
      </c>
      <c r="C12" s="3" t="s">
        <v>13</v>
      </c>
      <c r="D12" s="3" t="s">
        <v>42</v>
      </c>
      <c r="E12" s="3">
        <v>4</v>
      </c>
      <c r="F12" s="5">
        <v>4200</v>
      </c>
      <c r="G12" s="23">
        <v>800</v>
      </c>
    </row>
    <row r="13" spans="1:16" ht="15" x14ac:dyDescent="0.3">
      <c r="A13" s="22">
        <v>10</v>
      </c>
      <c r="B13" s="4">
        <v>45662</v>
      </c>
      <c r="C13" s="3" t="s">
        <v>14</v>
      </c>
      <c r="D13" s="3" t="s">
        <v>43</v>
      </c>
      <c r="E13" s="3">
        <v>1</v>
      </c>
      <c r="F13" s="3">
        <v>1800</v>
      </c>
      <c r="G13" s="23">
        <v>800</v>
      </c>
      <c r="L13" s="42" t="s">
        <v>122</v>
      </c>
    </row>
    <row r="14" spans="1:16" x14ac:dyDescent="0.3">
      <c r="A14" s="22">
        <v>11</v>
      </c>
      <c r="B14" s="4">
        <v>45662</v>
      </c>
      <c r="C14" s="3" t="s">
        <v>15</v>
      </c>
      <c r="D14" s="3" t="s">
        <v>44</v>
      </c>
      <c r="E14" s="3">
        <v>3</v>
      </c>
      <c r="F14" s="3">
        <v>150</v>
      </c>
      <c r="G14" s="23">
        <v>450</v>
      </c>
    </row>
    <row r="15" spans="1:16" x14ac:dyDescent="0.3">
      <c r="A15" s="22">
        <v>12</v>
      </c>
      <c r="B15" s="4">
        <v>45663</v>
      </c>
      <c r="C15" s="3" t="s">
        <v>16</v>
      </c>
      <c r="D15" s="3" t="s">
        <v>36</v>
      </c>
      <c r="E15" s="3">
        <v>1</v>
      </c>
      <c r="F15" s="3">
        <v>55000</v>
      </c>
      <c r="G15" s="23">
        <v>55000</v>
      </c>
      <c r="K15" s="41" t="s">
        <v>2</v>
      </c>
      <c r="L15" s="15" t="s">
        <v>10</v>
      </c>
      <c r="M15" s="14" t="s">
        <v>117</v>
      </c>
      <c r="N15" s="14" t="s">
        <v>3</v>
      </c>
      <c r="O15" s="14" t="s">
        <v>4</v>
      </c>
    </row>
    <row r="16" spans="1:16" x14ac:dyDescent="0.3">
      <c r="A16" s="22">
        <v>13</v>
      </c>
      <c r="B16" s="4">
        <v>45663</v>
      </c>
      <c r="C16" s="3" t="s">
        <v>17</v>
      </c>
      <c r="D16" s="3" t="s">
        <v>45</v>
      </c>
      <c r="E16" s="3">
        <v>1</v>
      </c>
      <c r="F16" s="3">
        <v>20000</v>
      </c>
      <c r="G16" s="23">
        <v>20000</v>
      </c>
      <c r="K16" s="41" t="s">
        <v>116</v>
      </c>
      <c r="L16" s="15" t="str" cm="1">
        <f t="array" ref="L16:O16">_xlfn.XLOOKUP(L15,C4:C23,D4:G23)</f>
        <v>Mouse</v>
      </c>
      <c r="M16" s="15">
        <v>2</v>
      </c>
      <c r="N16" s="15">
        <v>500</v>
      </c>
      <c r="O16" s="16">
        <v>1000</v>
      </c>
    </row>
    <row r="17" spans="1:17" x14ac:dyDescent="0.3">
      <c r="A17" s="22">
        <v>14</v>
      </c>
      <c r="B17" s="4">
        <v>45664</v>
      </c>
      <c r="C17" s="3" t="s">
        <v>18</v>
      </c>
      <c r="D17" s="3" t="s">
        <v>46</v>
      </c>
      <c r="E17" s="3">
        <v>2</v>
      </c>
      <c r="F17" s="3">
        <v>1200</v>
      </c>
      <c r="G17" s="23">
        <v>2400</v>
      </c>
    </row>
    <row r="18" spans="1:17" x14ac:dyDescent="0.3">
      <c r="A18" s="22">
        <v>15</v>
      </c>
      <c r="B18" s="4">
        <v>45664</v>
      </c>
      <c r="C18" s="3" t="s">
        <v>19</v>
      </c>
      <c r="D18" s="3" t="s">
        <v>38</v>
      </c>
      <c r="E18" s="3">
        <v>1</v>
      </c>
      <c r="F18" s="3">
        <v>5000</v>
      </c>
      <c r="G18" s="23">
        <v>5000</v>
      </c>
      <c r="K18" s="14" t="s">
        <v>117</v>
      </c>
      <c r="L18" s="15">
        <v>3</v>
      </c>
      <c r="M18" s="17" t="s">
        <v>4</v>
      </c>
    </row>
    <row r="19" spans="1:17" x14ac:dyDescent="0.3">
      <c r="A19" s="22">
        <v>16</v>
      </c>
      <c r="B19" s="4">
        <v>45665</v>
      </c>
      <c r="C19" s="3" t="s">
        <v>20</v>
      </c>
      <c r="D19" s="3" t="s">
        <v>39</v>
      </c>
      <c r="E19" s="3">
        <v>1</v>
      </c>
      <c r="F19" s="3">
        <v>800</v>
      </c>
      <c r="G19" s="23">
        <v>800</v>
      </c>
      <c r="K19" s="14" t="s">
        <v>3</v>
      </c>
      <c r="L19" s="15" cm="1">
        <f t="array" ref="L19:M19">_xlfn.XLOOKUP(L18,E4:E23,F4:G23)</f>
        <v>700</v>
      </c>
      <c r="M19" s="15">
        <v>2100</v>
      </c>
    </row>
    <row r="20" spans="1:17" x14ac:dyDescent="0.3">
      <c r="A20" s="22">
        <v>17</v>
      </c>
      <c r="B20" s="4">
        <v>45665</v>
      </c>
      <c r="C20" s="3" t="s">
        <v>21</v>
      </c>
      <c r="D20" s="3" t="s">
        <v>40</v>
      </c>
      <c r="E20" s="3">
        <v>1</v>
      </c>
      <c r="F20" s="3">
        <v>600</v>
      </c>
      <c r="G20" s="23">
        <v>600</v>
      </c>
    </row>
    <row r="21" spans="1:17" x14ac:dyDescent="0.3">
      <c r="A21" s="22">
        <v>18</v>
      </c>
      <c r="B21" s="4">
        <v>45666</v>
      </c>
      <c r="C21" s="3" t="s">
        <v>22</v>
      </c>
      <c r="D21" s="3" t="s">
        <v>35</v>
      </c>
      <c r="E21" s="3">
        <v>1</v>
      </c>
      <c r="F21" s="3">
        <v>16000</v>
      </c>
      <c r="G21" s="23">
        <v>16000</v>
      </c>
    </row>
    <row r="22" spans="1:17" ht="15" x14ac:dyDescent="0.3">
      <c r="A22" s="22">
        <v>19</v>
      </c>
      <c r="B22" s="4">
        <v>45666</v>
      </c>
      <c r="C22" s="3" t="s">
        <v>23</v>
      </c>
      <c r="D22" s="3" t="s">
        <v>43</v>
      </c>
      <c r="E22" s="3">
        <v>2</v>
      </c>
      <c r="F22" s="3">
        <v>2750</v>
      </c>
      <c r="G22" s="23">
        <v>1500</v>
      </c>
      <c r="L22" s="42" t="s">
        <v>124</v>
      </c>
    </row>
    <row r="23" spans="1:17" x14ac:dyDescent="0.3">
      <c r="A23" s="24">
        <v>20</v>
      </c>
      <c r="B23" s="32">
        <v>45667</v>
      </c>
      <c r="C23" s="13" t="s">
        <v>24</v>
      </c>
      <c r="D23" s="13" t="s">
        <v>47</v>
      </c>
      <c r="E23" s="13">
        <v>5</v>
      </c>
      <c r="F23" s="13">
        <v>5180</v>
      </c>
      <c r="G23" s="25">
        <v>900</v>
      </c>
    </row>
    <row r="24" spans="1:17" x14ac:dyDescent="0.3">
      <c r="K24" s="41" t="s">
        <v>2</v>
      </c>
      <c r="L24" s="41" t="s">
        <v>116</v>
      </c>
      <c r="M24" s="41" t="s">
        <v>117</v>
      </c>
      <c r="N24" s="12"/>
      <c r="O24" s="41" t="s">
        <v>117</v>
      </c>
      <c r="P24" s="41" t="s">
        <v>3</v>
      </c>
      <c r="Q24" s="41" t="s">
        <v>4</v>
      </c>
    </row>
    <row r="25" spans="1:17" x14ac:dyDescent="0.3">
      <c r="K25" s="15" t="str">
        <f>HLOOKUP(K24,B3:G23,9,0)</f>
        <v>Vikram Jain</v>
      </c>
      <c r="L25" s="15" t="str">
        <f>HLOOKUP(L24,C3:H23,9,0)</f>
        <v>Mobile</v>
      </c>
      <c r="M25" s="15">
        <f t="shared" ref="M25" si="0">HLOOKUP(M24,D3:I23,9,0)</f>
        <v>1</v>
      </c>
      <c r="N25" s="12"/>
      <c r="O25" s="15">
        <f>HLOOKUP(O24,B3:G23,8,0)</f>
        <v>1</v>
      </c>
      <c r="P25" s="15">
        <f t="shared" ref="P25:Q25" si="1">HLOOKUP(P24,C3:H23,8,0)</f>
        <v>12000</v>
      </c>
      <c r="Q25" s="15">
        <f t="shared" si="1"/>
        <v>12000</v>
      </c>
    </row>
    <row r="26" spans="1:17" x14ac:dyDescent="0.3">
      <c r="K26" s="15" t="str">
        <f>HLOOKUP(K24,B3:G23,15,0)</f>
        <v>Shalini Pathak</v>
      </c>
      <c r="L26" s="15" t="str">
        <f t="shared" ref="L26:M26" si="2">HLOOKUP(L24,C3:H23,15,0)</f>
        <v>Earbuds</v>
      </c>
      <c r="M26" s="15">
        <f t="shared" si="2"/>
        <v>2</v>
      </c>
      <c r="N26" s="12"/>
      <c r="O26" s="15">
        <f>HLOOKUP(O24,B3:G23,15,0)</f>
        <v>2</v>
      </c>
      <c r="P26" s="15">
        <f t="shared" ref="P26:Q26" si="3">HLOOKUP(P24,C3:H23,15,0)</f>
        <v>1200</v>
      </c>
      <c r="Q26" s="15">
        <f t="shared" si="3"/>
        <v>2400</v>
      </c>
    </row>
    <row r="27" spans="1:17" x14ac:dyDescent="0.3">
      <c r="K27" s="15" t="str">
        <f>HLOOKUP(K24,B3:G23,18,0)</f>
        <v>Rohit Singh</v>
      </c>
      <c r="L27" s="15" t="str">
        <f t="shared" ref="L27:M27" si="4">HLOOKUP(L24,C3:H23,18,0)</f>
        <v>Mouse</v>
      </c>
      <c r="M27" s="15">
        <f t="shared" si="4"/>
        <v>1</v>
      </c>
      <c r="O27" s="15">
        <f>HLOOKUP(O24,B3:G23,18,0)</f>
        <v>1</v>
      </c>
      <c r="P27" s="15">
        <f t="shared" ref="P27:Q27" si="5">HLOOKUP(P24,C3:H23,18,0)</f>
        <v>600</v>
      </c>
      <c r="Q27" s="15">
        <f t="shared" si="5"/>
        <v>600</v>
      </c>
    </row>
    <row r="28" spans="1:17" x14ac:dyDescent="0.3">
      <c r="K28" s="15" t="str">
        <f>HLOOKUP(K24,B3:G23,12,0)</f>
        <v>Rajesh Kuma</v>
      </c>
      <c r="L28" s="15" t="str">
        <f t="shared" ref="L28:M28" si="6">HLOOKUP(L24,C3:H23,12,0)</f>
        <v xml:space="preserve">Mobile </v>
      </c>
      <c r="M28" s="15">
        <f t="shared" si="6"/>
        <v>3</v>
      </c>
      <c r="O28" s="15">
        <f>HLOOKUP(O24,B3:G23,19,0)</f>
        <v>1</v>
      </c>
      <c r="P28" s="15">
        <f t="shared" ref="P28:Q28" si="7">HLOOKUP(P24,C3:H23,19,0)</f>
        <v>16000</v>
      </c>
      <c r="Q28" s="15">
        <f t="shared" si="7"/>
        <v>16000</v>
      </c>
    </row>
    <row r="29" spans="1:17" x14ac:dyDescent="0.3">
      <c r="K29" s="15" t="str">
        <f>HLOOKUP(K24,B3:G23,8,0)</f>
        <v>Meena Sharma</v>
      </c>
      <c r="L29" s="15" t="str">
        <f t="shared" ref="L29:M29" si="8">HLOOKUP(L24,C3:H23,8,0)</f>
        <v>Monitor</v>
      </c>
      <c r="M29" s="15">
        <f t="shared" si="8"/>
        <v>1</v>
      </c>
      <c r="O29" s="15">
        <f>HLOOKUP(O24,B3:G23,6,0)</f>
        <v>3</v>
      </c>
      <c r="P29" s="15">
        <f t="shared" ref="P29:Q29" si="9">HLOOKUP(P24,C3:H23,6,0)</f>
        <v>700</v>
      </c>
      <c r="Q29" s="15">
        <f t="shared" si="9"/>
        <v>2100</v>
      </c>
    </row>
    <row r="31" spans="1:17" ht="15" x14ac:dyDescent="0.3">
      <c r="C31" s="43" t="s">
        <v>131</v>
      </c>
    </row>
    <row r="32" spans="1:17" ht="15" x14ac:dyDescent="0.3">
      <c r="G32" s="42" t="s">
        <v>126</v>
      </c>
      <c r="L32" s="42" t="s">
        <v>125</v>
      </c>
    </row>
    <row r="33" spans="3:14" x14ac:dyDescent="0.3">
      <c r="C33" s="14" t="s">
        <v>116</v>
      </c>
      <c r="D33" s="14" t="s">
        <v>3</v>
      </c>
    </row>
    <row r="34" spans="3:14" x14ac:dyDescent="0.3">
      <c r="C34" s="15" t="s">
        <v>40</v>
      </c>
      <c r="D34" s="15">
        <f>INDEX(F3:F23,MATCH(C34,D3:D23,0))</f>
        <v>500</v>
      </c>
      <c r="G34" s="15">
        <f>INDEX(A3:G23,5,7)</f>
        <v>4500</v>
      </c>
      <c r="H34" s="16" t="str">
        <f>INDEX(A3:G23,5,3)</f>
        <v>Sunita Gupta</v>
      </c>
      <c r="K34" s="15">
        <v>5000</v>
      </c>
      <c r="L34" s="15">
        <f>MATCH(K34,F3:F23,0)</f>
        <v>16</v>
      </c>
      <c r="M34" s="15" t="s">
        <v>40</v>
      </c>
      <c r="N34" s="15">
        <f>MATCH(M34,D3:D23,0)</f>
        <v>7</v>
      </c>
    </row>
    <row r="35" spans="3:14" x14ac:dyDescent="0.3">
      <c r="C35" s="15" t="s">
        <v>21</v>
      </c>
      <c r="D35" s="15">
        <f>INDEX(F3:F23,MATCH(C35,C3:C23,0))</f>
        <v>600</v>
      </c>
      <c r="K35" s="18"/>
      <c r="L35" s="18"/>
      <c r="M35" s="18"/>
      <c r="N35" s="18"/>
    </row>
    <row r="36" spans="3:14" x14ac:dyDescent="0.3">
      <c r="G36" s="15">
        <f>INDEX(A3:G23,5,5)</f>
        <v>1</v>
      </c>
      <c r="H36" s="15">
        <f>INDEX(A3:G23,9,7)</f>
        <v>18000</v>
      </c>
      <c r="K36" s="15" t="s">
        <v>23</v>
      </c>
      <c r="L36" s="15">
        <f>MATCH(K36,C3:C23,0)</f>
        <v>20</v>
      </c>
      <c r="M36" s="19">
        <v>45665</v>
      </c>
      <c r="N36" s="15">
        <f>MATCH(M36,B3:B23,0)</f>
        <v>17</v>
      </c>
    </row>
    <row r="37" spans="3:14" x14ac:dyDescent="0.3">
      <c r="K37" s="18"/>
      <c r="L37" s="18"/>
      <c r="M37" s="18"/>
      <c r="N37" s="18"/>
    </row>
    <row r="38" spans="3:14" x14ac:dyDescent="0.3">
      <c r="K38" s="15">
        <v>2</v>
      </c>
      <c r="L38" s="15">
        <f>MATCH(K38,E3:E23,0)</f>
        <v>4</v>
      </c>
      <c r="M38" s="15">
        <v>2400</v>
      </c>
      <c r="N38" s="15">
        <f>MATCH(M38,G3:G23,0)</f>
        <v>15</v>
      </c>
    </row>
    <row r="40" spans="3:14" x14ac:dyDescent="0.3">
      <c r="K40" s="1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921DE-617D-4798-B9B5-BCCB625B3A2B}">
  <dimension ref="A2:R7"/>
  <sheetViews>
    <sheetView topLeftCell="A2" workbookViewId="0">
      <selection activeCell="A6" sqref="A6"/>
    </sheetView>
  </sheetViews>
  <sheetFormatPr defaultRowHeight="14.4" x14ac:dyDescent="0.3"/>
  <cols>
    <col min="1" max="1" width="10.77734375" bestFit="1" customWidth="1"/>
    <col min="2" max="3" width="19.77734375" bestFit="1" customWidth="1"/>
    <col min="4" max="4" width="16.88671875" bestFit="1" customWidth="1"/>
    <col min="5" max="5" width="19.77734375" bestFit="1" customWidth="1"/>
    <col min="6" max="6" width="10.109375" bestFit="1" customWidth="1"/>
    <col min="7" max="7" width="10.77734375" bestFit="1" customWidth="1"/>
    <col min="8" max="8" width="19.77734375" bestFit="1" customWidth="1"/>
    <col min="9" max="9" width="12.88671875" bestFit="1" customWidth="1"/>
    <col min="10" max="10" width="15.44140625" bestFit="1" customWidth="1"/>
    <col min="11" max="11" width="19.77734375" bestFit="1" customWidth="1"/>
    <col min="12" max="12" width="14.88671875" bestFit="1" customWidth="1"/>
    <col min="13" max="13" width="15.44140625" bestFit="1" customWidth="1"/>
    <col min="14" max="14" width="14.88671875" bestFit="1" customWidth="1"/>
    <col min="15" max="15" width="11.109375" bestFit="1" customWidth="1"/>
    <col min="16" max="16" width="15.44140625" bestFit="1" customWidth="1"/>
    <col min="17" max="17" width="11.5546875" bestFit="1" customWidth="1"/>
    <col min="18" max="18" width="9.77734375" bestFit="1" customWidth="1"/>
    <col min="19" max="20" width="12" bestFit="1" customWidth="1"/>
    <col min="21" max="21" width="11.6640625" bestFit="1" customWidth="1"/>
    <col min="22" max="22" width="9.77734375" bestFit="1" customWidth="1"/>
    <col min="23" max="23" width="10.6640625" bestFit="1" customWidth="1"/>
    <col min="24" max="24" width="12.21875" bestFit="1" customWidth="1"/>
    <col min="25" max="25" width="11.21875" bestFit="1" customWidth="1"/>
    <col min="26" max="26" width="12.109375" bestFit="1" customWidth="1"/>
    <col min="27" max="27" width="10.88671875" bestFit="1" customWidth="1"/>
    <col min="28" max="28" width="10.21875" bestFit="1" customWidth="1"/>
    <col min="29" max="29" width="10.5546875" bestFit="1" customWidth="1"/>
    <col min="30" max="30" width="11" bestFit="1" customWidth="1"/>
    <col min="31" max="31" width="14.33203125" bestFit="1" customWidth="1"/>
    <col min="32" max="32" width="13.33203125" bestFit="1" customWidth="1"/>
    <col min="33" max="33" width="10.33203125" bestFit="1" customWidth="1"/>
    <col min="34" max="34" width="10" bestFit="1" customWidth="1"/>
    <col min="35" max="35" width="10.21875" bestFit="1" customWidth="1"/>
    <col min="36" max="36" width="12.6640625" bestFit="1" customWidth="1"/>
    <col min="37" max="37" width="12.44140625" bestFit="1" customWidth="1"/>
    <col min="38" max="38" width="12.6640625" bestFit="1" customWidth="1"/>
    <col min="39" max="39" width="11.5546875" bestFit="1" customWidth="1"/>
    <col min="40" max="40" width="13.88671875" bestFit="1" customWidth="1"/>
    <col min="41" max="41" width="11.6640625" bestFit="1" customWidth="1"/>
    <col min="42" max="42" width="13.44140625" bestFit="1" customWidth="1"/>
    <col min="43" max="43" width="10" bestFit="1" customWidth="1"/>
    <col min="44" max="44" width="12.6640625" bestFit="1" customWidth="1"/>
    <col min="45" max="45" width="13.109375" bestFit="1" customWidth="1"/>
    <col min="46" max="46" width="9.5546875" bestFit="1" customWidth="1"/>
    <col min="47" max="47" width="11.88671875" bestFit="1" customWidth="1"/>
    <col min="48" max="48" width="9.33203125" bestFit="1" customWidth="1"/>
    <col min="49" max="49" width="11.88671875" bestFit="1" customWidth="1"/>
    <col min="50" max="50" width="11.5546875" bestFit="1" customWidth="1"/>
    <col min="51" max="51" width="11.88671875" bestFit="1" customWidth="1"/>
    <col min="52" max="52" width="9.44140625" bestFit="1" customWidth="1"/>
    <col min="53" max="53" width="12.77734375" bestFit="1" customWidth="1"/>
    <col min="54" max="54" width="10.77734375" bestFit="1" customWidth="1"/>
    <col min="55" max="55" width="13.5546875" bestFit="1" customWidth="1"/>
    <col min="56" max="56" width="9.44140625" bestFit="1" customWidth="1"/>
    <col min="57" max="57" width="12.6640625" bestFit="1" customWidth="1"/>
    <col min="58" max="58" width="13.109375" bestFit="1" customWidth="1"/>
    <col min="59" max="59" width="11.88671875" bestFit="1" customWidth="1"/>
    <col min="60" max="60" width="15.5546875" bestFit="1" customWidth="1"/>
    <col min="61" max="61" width="12.5546875" bestFit="1" customWidth="1"/>
    <col min="62" max="62" width="9.6640625" bestFit="1" customWidth="1"/>
    <col min="63" max="63" width="10.88671875" bestFit="1" customWidth="1"/>
    <col min="64" max="64" width="13.21875" bestFit="1" customWidth="1"/>
    <col min="65" max="65" width="10.6640625" bestFit="1" customWidth="1"/>
    <col min="66" max="66" width="10.33203125" bestFit="1" customWidth="1"/>
    <col min="67" max="67" width="7.77734375" bestFit="1" customWidth="1"/>
    <col min="68" max="68" width="8" bestFit="1" customWidth="1"/>
    <col min="69" max="69" width="11.44140625" bestFit="1" customWidth="1"/>
    <col min="70" max="70" width="13.5546875" bestFit="1" customWidth="1"/>
    <col min="71" max="71" width="12.33203125" bestFit="1" customWidth="1"/>
    <col min="72" max="72" width="10.5546875" bestFit="1" customWidth="1"/>
    <col min="73" max="73" width="12.109375" bestFit="1" customWidth="1"/>
    <col min="74" max="74" width="12.5546875" bestFit="1" customWidth="1"/>
    <col min="75" max="75" width="9.77734375" bestFit="1" customWidth="1"/>
    <col min="76" max="76" width="12.109375" bestFit="1" customWidth="1"/>
    <col min="77" max="77" width="12.88671875" bestFit="1" customWidth="1"/>
    <col min="78" max="78" width="12.6640625" bestFit="1" customWidth="1"/>
    <col min="79" max="79" width="12.88671875" bestFit="1" customWidth="1"/>
    <col min="80" max="80" width="11.44140625" bestFit="1" customWidth="1"/>
    <col min="81" max="81" width="12.88671875" bestFit="1" customWidth="1"/>
    <col min="82" max="82" width="14.77734375" bestFit="1" customWidth="1"/>
    <col min="83" max="83" width="12.5546875" bestFit="1" customWidth="1"/>
    <col min="84" max="84" width="11.21875" bestFit="1" customWidth="1"/>
    <col min="85" max="85" width="12.77734375" bestFit="1" customWidth="1"/>
    <col min="86" max="86" width="11.21875" bestFit="1" customWidth="1"/>
    <col min="87" max="87" width="10.88671875" bestFit="1" customWidth="1"/>
    <col min="88" max="88" width="11.33203125" bestFit="1" customWidth="1"/>
    <col min="89" max="89" width="11.88671875" bestFit="1" customWidth="1"/>
    <col min="90" max="90" width="12.6640625" bestFit="1" customWidth="1"/>
    <col min="91" max="91" width="10" bestFit="1" customWidth="1"/>
    <col min="92" max="92" width="13.6640625" bestFit="1" customWidth="1"/>
    <col min="93" max="93" width="13.21875" bestFit="1" customWidth="1"/>
    <col min="94" max="94" width="9.109375" bestFit="1" customWidth="1"/>
    <col min="95" max="95" width="10.6640625" bestFit="1" customWidth="1"/>
    <col min="96" max="96" width="10.88671875" bestFit="1" customWidth="1"/>
    <col min="97" max="97" width="13.77734375" bestFit="1" customWidth="1"/>
    <col min="98" max="98" width="11.77734375" bestFit="1" customWidth="1"/>
    <col min="99" max="99" width="10.77734375" bestFit="1" customWidth="1"/>
    <col min="100" max="116" width="5" bestFit="1" customWidth="1"/>
    <col min="117" max="117" width="6" bestFit="1" customWidth="1"/>
    <col min="118" max="119" width="5" bestFit="1" customWidth="1"/>
    <col min="120" max="120" width="6" bestFit="1" customWidth="1"/>
    <col min="121" max="124" width="5" bestFit="1" customWidth="1"/>
    <col min="125" max="157" width="6" bestFit="1" customWidth="1"/>
    <col min="158" max="158" width="7" bestFit="1" customWidth="1"/>
    <col min="159" max="159" width="6" bestFit="1" customWidth="1"/>
    <col min="160" max="160" width="13.77734375" bestFit="1" customWidth="1"/>
    <col min="161" max="168" width="4" bestFit="1" customWidth="1"/>
    <col min="169" max="203" width="5" bestFit="1" customWidth="1"/>
    <col min="204" max="238" width="6" bestFit="1" customWidth="1"/>
    <col min="239" max="239" width="19.6640625" bestFit="1" customWidth="1"/>
    <col min="240" max="240" width="24.5546875" bestFit="1" customWidth="1"/>
    <col min="241" max="241" width="18.5546875" bestFit="1" customWidth="1"/>
  </cols>
  <sheetData>
    <row r="2" spans="1:18" ht="33" customHeight="1" x14ac:dyDescent="0.3">
      <c r="A2" s="50" t="s">
        <v>136</v>
      </c>
      <c r="B2" s="51"/>
      <c r="C2" s="51"/>
      <c r="D2" s="51"/>
      <c r="E2" s="51"/>
      <c r="F2" s="51"/>
      <c r="G2" s="51"/>
      <c r="H2" s="51"/>
      <c r="I2" s="51"/>
      <c r="J2" s="51"/>
      <c r="K2" s="51"/>
      <c r="L2" s="51"/>
      <c r="M2" s="51"/>
      <c r="N2" s="51"/>
      <c r="O2" s="51"/>
      <c r="P2" s="51"/>
      <c r="Q2" s="51"/>
      <c r="R2" s="51"/>
    </row>
    <row r="3" spans="1:18" x14ac:dyDescent="0.3">
      <c r="C3" s="12"/>
      <c r="D3" s="12"/>
      <c r="E3" s="12"/>
      <c r="F3" s="12"/>
    </row>
    <row r="5" spans="1:18" x14ac:dyDescent="0.3">
      <c r="A5" s="7" t="s">
        <v>134</v>
      </c>
      <c r="B5" t="s">
        <v>121</v>
      </c>
      <c r="D5" s="7" t="s">
        <v>133</v>
      </c>
      <c r="E5" t="s">
        <v>121</v>
      </c>
      <c r="G5" s="7" t="s">
        <v>1</v>
      </c>
      <c r="H5" t="s">
        <v>121</v>
      </c>
      <c r="J5" s="7" t="s">
        <v>135</v>
      </c>
      <c r="K5" t="s">
        <v>121</v>
      </c>
      <c r="M5" s="7" t="s">
        <v>135</v>
      </c>
      <c r="N5" t="s">
        <v>119</v>
      </c>
      <c r="P5" s="7" t="s">
        <v>135</v>
      </c>
      <c r="Q5" t="s">
        <v>120</v>
      </c>
    </row>
    <row r="6" spans="1:18" x14ac:dyDescent="0.3">
      <c r="A6" s="8">
        <v>36</v>
      </c>
      <c r="B6">
        <v>4800</v>
      </c>
      <c r="D6" s="8" t="s">
        <v>54</v>
      </c>
      <c r="E6">
        <v>4800</v>
      </c>
      <c r="G6" s="9">
        <v>45675</v>
      </c>
      <c r="H6">
        <v>4800</v>
      </c>
      <c r="J6" s="8" t="s">
        <v>39</v>
      </c>
      <c r="K6">
        <v>4800</v>
      </c>
      <c r="M6" s="8" t="s">
        <v>39</v>
      </c>
      <c r="N6">
        <v>1</v>
      </c>
      <c r="P6" s="8" t="s">
        <v>39</v>
      </c>
      <c r="Q6">
        <v>4800</v>
      </c>
    </row>
    <row r="7" spans="1:18" x14ac:dyDescent="0.3">
      <c r="A7" s="8" t="s">
        <v>118</v>
      </c>
      <c r="B7">
        <v>4800</v>
      </c>
      <c r="D7" s="8" t="s">
        <v>118</v>
      </c>
      <c r="E7">
        <v>4800</v>
      </c>
      <c r="G7" s="9" t="s">
        <v>118</v>
      </c>
      <c r="H7">
        <v>4800</v>
      </c>
      <c r="J7" s="8" t="s">
        <v>118</v>
      </c>
      <c r="K7">
        <v>4800</v>
      </c>
      <c r="M7" s="8" t="s">
        <v>118</v>
      </c>
      <c r="N7">
        <v>1</v>
      </c>
      <c r="P7" s="8" t="s">
        <v>118</v>
      </c>
      <c r="Q7">
        <v>4800</v>
      </c>
    </row>
  </sheetData>
  <mergeCells count="1">
    <mergeCell ref="A2:R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C11E-F3A3-4675-B754-BFC06AC6F712}">
  <dimension ref="A2"/>
  <sheetViews>
    <sheetView topLeftCell="A2" workbookViewId="0">
      <selection activeCell="S15" sqref="S15"/>
    </sheetView>
  </sheetViews>
  <sheetFormatPr defaultRowHeight="14.4" x14ac:dyDescent="0.3"/>
  <cols>
    <col min="1" max="16384" width="8.88671875" style="40"/>
  </cols>
  <sheetData>
    <row r="2" spans="1:1" s="52" customFormat="1" ht="30.6" customHeight="1" x14ac:dyDescent="0.6">
      <c r="A2" s="52" t="s">
        <v>137</v>
      </c>
    </row>
  </sheetData>
  <mergeCells count="1">
    <mergeCell ref="A2:XFD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Shinde</dc:creator>
  <cp:lastModifiedBy>Omkar Shinde</cp:lastModifiedBy>
  <cp:lastPrinted>2026-03-20T14:14:22Z</cp:lastPrinted>
  <dcterms:created xsi:type="dcterms:W3CDTF">2025-12-07T04:20:35Z</dcterms:created>
  <dcterms:modified xsi:type="dcterms:W3CDTF">2026-03-20T14:14:51Z</dcterms:modified>
</cp:coreProperties>
</file>